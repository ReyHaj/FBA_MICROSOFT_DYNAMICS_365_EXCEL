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ha\Desktop\FBA.Dynamics365\"/>
    </mc:Choice>
  </mc:AlternateContent>
  <xr:revisionPtr revIDLastSave="0" documentId="13_ncr:1_{71F1E022-8A52-43AC-A2DD-404402733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5" i="1" l="1"/>
  <c r="G23" i="1"/>
  <c r="G31" i="1"/>
  <c r="G4" i="1"/>
  <c r="G12" i="1"/>
  <c r="G20" i="1"/>
  <c r="G28" i="1"/>
  <c r="G21" i="1"/>
  <c r="G29" i="1"/>
  <c r="G13" i="1"/>
  <c r="G5" i="1"/>
  <c r="G8" i="1"/>
  <c r="G16" i="1"/>
  <c r="G24" i="1"/>
  <c r="G7" i="1"/>
  <c r="G17" i="1"/>
  <c r="G25" i="1"/>
  <c r="G19" i="1"/>
  <c r="G10" i="1"/>
  <c r="G18" i="1"/>
  <c r="G26" i="1"/>
  <c r="G3" i="1"/>
  <c r="G27" i="1"/>
  <c r="G11" i="1"/>
  <c r="G9" i="1"/>
  <c r="G2" i="1"/>
  <c r="G22" i="1"/>
  <c r="G14" i="1"/>
  <c r="G30" i="1"/>
  <c r="G6" i="1"/>
</calcChain>
</file>

<file path=xl/sharedStrings.xml><?xml version="1.0" encoding="utf-8"?>
<sst xmlns="http://schemas.openxmlformats.org/spreadsheetml/2006/main" count="125" uniqueCount="40">
  <si>
    <t>CustomerID</t>
  </si>
  <si>
    <t>CustomerName</t>
  </si>
  <si>
    <t>InvoiceDate</t>
  </si>
  <si>
    <t>Amount_IRR</t>
  </si>
  <si>
    <t>PaymentDate</t>
  </si>
  <si>
    <t>Notes</t>
  </si>
  <si>
    <t>C002</t>
  </si>
  <si>
    <t>C004</t>
  </si>
  <si>
    <t>C005</t>
  </si>
  <si>
    <t>C003</t>
  </si>
  <si>
    <t>C001</t>
  </si>
  <si>
    <t>Sara Market</t>
  </si>
  <si>
    <t>Reza Shop</t>
  </si>
  <si>
    <t>Neda Store</t>
  </si>
  <si>
    <t>Ali Supermarket</t>
  </si>
  <si>
    <t>Mahdi Store</t>
  </si>
  <si>
    <t>2025-09-20</t>
  </si>
  <si>
    <t>2025-09-03</t>
  </si>
  <si>
    <t>2025-09-29</t>
  </si>
  <si>
    <t>2025-09-21</t>
  </si>
  <si>
    <t>2025-09-26</t>
  </si>
  <si>
    <t>2025-09-16</t>
  </si>
  <si>
    <t>2025-09-07</t>
  </si>
  <si>
    <t>2025-09-23</t>
  </si>
  <si>
    <t>2025-09-04</t>
  </si>
  <si>
    <t>2025-09-06</t>
  </si>
  <si>
    <t>2025-09-09</t>
  </si>
  <si>
    <t>2025-09-18</t>
  </si>
  <si>
    <t>2025-09-30</t>
  </si>
  <si>
    <t>2025-09-24</t>
  </si>
  <si>
    <t>2025-09-02</t>
  </si>
  <si>
    <t>2025-09-13</t>
  </si>
  <si>
    <t>2025-09-05</t>
  </si>
  <si>
    <t>2025-09-28</t>
  </si>
  <si>
    <t>2025-09-12</t>
  </si>
  <si>
    <t>2025-09-25</t>
  </si>
  <si>
    <t>2025-09-27</t>
  </si>
  <si>
    <t>2025-09-17</t>
  </si>
  <si>
    <t>2025-09-15</t>
  </si>
  <si>
    <t>CheckKey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</si>
</sst>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5" sqref="B5"/>
    </sheetView>
  </sheetViews>
  <sheetFormatPr defaultRowHeight="14.5" x14ac:dyDescent="0.35"/>
  <cols>
    <col min="1" max="1" width="15.36328125" bestFit="1" customWidth="1"/>
    <col min="2" max="2" width="18.54296875" bestFit="1" customWidth="1"/>
    <col min="3" max="3" width="15.26953125" bestFit="1" customWidth="1"/>
    <col min="4" max="4" width="15.90625" bestFit="1" customWidth="1"/>
    <col min="5" max="5" width="16.81640625" bestFit="1" customWidth="1"/>
    <col min="6" max="6" width="14.90625" bestFit="1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3" t="s">
        <v>5</v>
      </c>
    </row>
    <row r="2" spans="1:7" x14ac:dyDescent="0.35">
      <c r="A2" t="s">
        <v>6</v>
      </c>
      <c r="B2" t="s">
        <v>11</v>
      </c>
      <c r="C2" t="s">
        <v>16</v>
      </c>
      <c r="D2">
        <v>500000</v>
      </c>
      <c r="E2" t="s">
        <v>33</v>
      </c>
      <c r="F2" t="str">
        <f>A2&amp;"-"&amp; C2</f>
        <v>C002-2025-09-20</v>
      </c>
      <c r="G2" t="str">
        <f>IF(COUNTIF($F$2:$F$31,F2)&gt;1, "Duplicate", "Ok")</f>
        <v>Ok</v>
      </c>
    </row>
    <row r="3" spans="1:7" x14ac:dyDescent="0.35">
      <c r="A3" t="s">
        <v>6</v>
      </c>
      <c r="B3" t="s">
        <v>11</v>
      </c>
      <c r="C3" t="s">
        <v>17</v>
      </c>
      <c r="D3">
        <v>100000</v>
      </c>
      <c r="E3" t="s">
        <v>24</v>
      </c>
      <c r="F3" t="str">
        <f t="shared" ref="F3:F31" si="0">A3&amp;"-"&amp; C3</f>
        <v>C002-2025-09-03</v>
      </c>
      <c r="G3" t="str">
        <f t="shared" ref="G3:G31" si="1">IF(COUNTIF($F$2:$F$31,F3)&gt;1, "Duplicate", "Ok")</f>
        <v>Ok</v>
      </c>
    </row>
    <row r="4" spans="1:7" x14ac:dyDescent="0.35">
      <c r="A4" t="s">
        <v>6</v>
      </c>
      <c r="B4" t="s">
        <v>11</v>
      </c>
      <c r="C4" t="s">
        <v>18</v>
      </c>
      <c r="D4">
        <v>1200000</v>
      </c>
      <c r="E4" t="s">
        <v>19</v>
      </c>
      <c r="F4" t="str">
        <f t="shared" si="0"/>
        <v>C002-2025-09-29</v>
      </c>
      <c r="G4" t="str">
        <f t="shared" si="1"/>
        <v>Ok</v>
      </c>
    </row>
    <row r="5" spans="1:7" x14ac:dyDescent="0.35">
      <c r="A5" t="s">
        <v>7</v>
      </c>
      <c r="B5" t="s">
        <v>12</v>
      </c>
      <c r="C5" t="s">
        <v>19</v>
      </c>
      <c r="D5">
        <v>1200000</v>
      </c>
      <c r="E5" t="s">
        <v>21</v>
      </c>
      <c r="F5" t="str">
        <f t="shared" si="0"/>
        <v>C004-2025-09-21</v>
      </c>
      <c r="G5" t="str">
        <f t="shared" si="1"/>
        <v>Ok</v>
      </c>
    </row>
    <row r="6" spans="1:7" x14ac:dyDescent="0.35">
      <c r="A6" t="s">
        <v>7</v>
      </c>
      <c r="B6" t="s">
        <v>12</v>
      </c>
      <c r="C6" t="s">
        <v>20</v>
      </c>
      <c r="D6">
        <v>1200000</v>
      </c>
      <c r="E6" t="s">
        <v>29</v>
      </c>
      <c r="F6" t="str">
        <f t="shared" si="0"/>
        <v>C004-2025-09-26</v>
      </c>
      <c r="G6" t="str">
        <f t="shared" si="1"/>
        <v>Ok</v>
      </c>
    </row>
    <row r="7" spans="1:7" x14ac:dyDescent="0.35">
      <c r="A7" t="s">
        <v>8</v>
      </c>
      <c r="B7" t="s">
        <v>13</v>
      </c>
      <c r="C7" t="s">
        <v>21</v>
      </c>
      <c r="D7">
        <v>50000</v>
      </c>
      <c r="E7" t="s">
        <v>28</v>
      </c>
      <c r="F7" t="str">
        <f t="shared" si="0"/>
        <v>C005-2025-09-16</v>
      </c>
      <c r="G7" t="str">
        <f t="shared" si="1"/>
        <v>Ok</v>
      </c>
    </row>
    <row r="8" spans="1:7" x14ac:dyDescent="0.35">
      <c r="A8" t="s">
        <v>6</v>
      </c>
      <c r="B8" t="s">
        <v>11</v>
      </c>
      <c r="C8" t="s">
        <v>19</v>
      </c>
      <c r="D8">
        <v>100000</v>
      </c>
      <c r="E8" t="s">
        <v>18</v>
      </c>
      <c r="F8" t="str">
        <f t="shared" si="0"/>
        <v>C002-2025-09-21</v>
      </c>
      <c r="G8" t="str">
        <f t="shared" si="1"/>
        <v>Duplicate</v>
      </c>
    </row>
    <row r="9" spans="1:7" x14ac:dyDescent="0.35">
      <c r="A9" t="s">
        <v>8</v>
      </c>
      <c r="B9" t="s">
        <v>13</v>
      </c>
      <c r="C9" t="s">
        <v>22</v>
      </c>
      <c r="D9">
        <v>100000</v>
      </c>
      <c r="E9" t="s">
        <v>23</v>
      </c>
      <c r="F9" t="str">
        <f t="shared" si="0"/>
        <v>C005-2025-09-07</v>
      </c>
      <c r="G9" t="str">
        <f t="shared" si="1"/>
        <v>Ok</v>
      </c>
    </row>
    <row r="10" spans="1:7" x14ac:dyDescent="0.35">
      <c r="A10" t="s">
        <v>6</v>
      </c>
      <c r="B10" t="s">
        <v>11</v>
      </c>
      <c r="C10" t="s">
        <v>22</v>
      </c>
      <c r="D10">
        <v>700000</v>
      </c>
      <c r="E10" t="s">
        <v>33</v>
      </c>
      <c r="F10" t="str">
        <f t="shared" si="0"/>
        <v>C002-2025-09-07</v>
      </c>
      <c r="G10" t="str">
        <f t="shared" si="1"/>
        <v>Ok</v>
      </c>
    </row>
    <row r="11" spans="1:7" x14ac:dyDescent="0.35">
      <c r="A11" t="s">
        <v>9</v>
      </c>
      <c r="B11" t="s">
        <v>14</v>
      </c>
      <c r="C11" t="s">
        <v>23</v>
      </c>
      <c r="D11">
        <v>50000</v>
      </c>
      <c r="E11" t="s">
        <v>16</v>
      </c>
      <c r="F11" t="str">
        <f t="shared" si="0"/>
        <v>C003-2025-09-23</v>
      </c>
      <c r="G11" t="str">
        <f t="shared" si="1"/>
        <v>Ok</v>
      </c>
    </row>
    <row r="12" spans="1:7" x14ac:dyDescent="0.35">
      <c r="A12" t="s">
        <v>9</v>
      </c>
      <c r="B12" t="s">
        <v>14</v>
      </c>
      <c r="C12" t="s">
        <v>17</v>
      </c>
      <c r="D12">
        <v>100000</v>
      </c>
      <c r="E12" t="s">
        <v>34</v>
      </c>
      <c r="F12" t="str">
        <f t="shared" si="0"/>
        <v>C003-2025-09-03</v>
      </c>
      <c r="G12" t="str">
        <f t="shared" si="1"/>
        <v>Ok</v>
      </c>
    </row>
    <row r="13" spans="1:7" x14ac:dyDescent="0.35">
      <c r="A13" t="s">
        <v>10</v>
      </c>
      <c r="B13" t="s">
        <v>15</v>
      </c>
      <c r="C13" t="s">
        <v>22</v>
      </c>
      <c r="D13">
        <v>100000</v>
      </c>
      <c r="E13" t="s">
        <v>22</v>
      </c>
      <c r="F13" t="str">
        <f t="shared" si="0"/>
        <v>C001-2025-09-07</v>
      </c>
      <c r="G13" t="str">
        <f t="shared" si="1"/>
        <v>Ok</v>
      </c>
    </row>
    <row r="14" spans="1:7" x14ac:dyDescent="0.35">
      <c r="A14" t="s">
        <v>8</v>
      </c>
      <c r="B14" t="s">
        <v>13</v>
      </c>
      <c r="C14" t="s">
        <v>24</v>
      </c>
      <c r="D14">
        <v>100000</v>
      </c>
      <c r="E14" t="s">
        <v>25</v>
      </c>
      <c r="F14" t="str">
        <f t="shared" si="0"/>
        <v>C005-2025-09-04</v>
      </c>
      <c r="G14" t="str">
        <f t="shared" si="1"/>
        <v>Ok</v>
      </c>
    </row>
    <row r="15" spans="1:7" x14ac:dyDescent="0.35">
      <c r="A15" t="s">
        <v>7</v>
      </c>
      <c r="B15" t="s">
        <v>12</v>
      </c>
      <c r="C15" t="s">
        <v>24</v>
      </c>
      <c r="D15">
        <v>100000</v>
      </c>
      <c r="E15" t="s">
        <v>20</v>
      </c>
      <c r="F15" t="str">
        <f t="shared" si="0"/>
        <v>C004-2025-09-04</v>
      </c>
      <c r="G15" t="str">
        <f t="shared" si="1"/>
        <v>Ok</v>
      </c>
    </row>
    <row r="16" spans="1:7" x14ac:dyDescent="0.35">
      <c r="A16" t="s">
        <v>9</v>
      </c>
      <c r="B16" t="s">
        <v>14</v>
      </c>
      <c r="C16" t="s">
        <v>18</v>
      </c>
      <c r="D16">
        <v>1000000</v>
      </c>
      <c r="E16" t="s">
        <v>30</v>
      </c>
      <c r="F16" t="str">
        <f t="shared" si="0"/>
        <v>C003-2025-09-29</v>
      </c>
      <c r="G16" t="str">
        <f t="shared" si="1"/>
        <v>Ok</v>
      </c>
    </row>
    <row r="17" spans="1:7" x14ac:dyDescent="0.35">
      <c r="A17" t="s">
        <v>10</v>
      </c>
      <c r="B17" t="s">
        <v>15</v>
      </c>
      <c r="C17" t="s">
        <v>25</v>
      </c>
      <c r="D17">
        <v>70000</v>
      </c>
      <c r="E17" t="s">
        <v>18</v>
      </c>
      <c r="F17" t="str">
        <f t="shared" si="0"/>
        <v>C001-2025-09-06</v>
      </c>
      <c r="G17" t="str">
        <f t="shared" si="1"/>
        <v>Ok</v>
      </c>
    </row>
    <row r="18" spans="1:7" x14ac:dyDescent="0.35">
      <c r="A18" t="s">
        <v>9</v>
      </c>
      <c r="B18" t="s">
        <v>14</v>
      </c>
      <c r="C18" t="s">
        <v>26</v>
      </c>
      <c r="D18">
        <v>700000</v>
      </c>
      <c r="E18" t="s">
        <v>27</v>
      </c>
      <c r="F18" t="str">
        <f t="shared" si="0"/>
        <v>C003-2025-09-09</v>
      </c>
      <c r="G18" t="str">
        <f t="shared" si="1"/>
        <v>Ok</v>
      </c>
    </row>
    <row r="19" spans="1:7" x14ac:dyDescent="0.35">
      <c r="A19" t="s">
        <v>9</v>
      </c>
      <c r="B19" t="s">
        <v>14</v>
      </c>
      <c r="C19" t="s">
        <v>27</v>
      </c>
      <c r="D19">
        <v>10000</v>
      </c>
      <c r="E19" s="2"/>
      <c r="F19" t="str">
        <f t="shared" si="0"/>
        <v>C003-2025-09-18</v>
      </c>
      <c r="G19" t="str">
        <f t="shared" si="1"/>
        <v>Duplicate</v>
      </c>
    </row>
    <row r="20" spans="1:7" x14ac:dyDescent="0.35">
      <c r="A20" t="s">
        <v>10</v>
      </c>
      <c r="B20" t="s">
        <v>15</v>
      </c>
      <c r="C20" t="s">
        <v>28</v>
      </c>
      <c r="D20">
        <v>1000000</v>
      </c>
      <c r="E20" t="s">
        <v>24</v>
      </c>
      <c r="F20" t="str">
        <f t="shared" si="0"/>
        <v>C001-2025-09-30</v>
      </c>
      <c r="G20" t="str">
        <f t="shared" si="1"/>
        <v>Ok</v>
      </c>
    </row>
    <row r="21" spans="1:7" x14ac:dyDescent="0.35">
      <c r="A21" t="s">
        <v>9</v>
      </c>
      <c r="B21" t="s">
        <v>14</v>
      </c>
      <c r="C21" t="s">
        <v>27</v>
      </c>
      <c r="D21">
        <v>1000000</v>
      </c>
      <c r="E21" t="s">
        <v>29</v>
      </c>
      <c r="F21" t="str">
        <f t="shared" si="0"/>
        <v>C003-2025-09-18</v>
      </c>
      <c r="G21" t="str">
        <f t="shared" si="1"/>
        <v>Duplicate</v>
      </c>
    </row>
    <row r="22" spans="1:7" x14ac:dyDescent="0.35">
      <c r="A22" t="s">
        <v>8</v>
      </c>
      <c r="B22" t="s">
        <v>13</v>
      </c>
      <c r="C22" t="s">
        <v>29</v>
      </c>
      <c r="D22">
        <v>500000</v>
      </c>
      <c r="E22" t="s">
        <v>35</v>
      </c>
      <c r="F22" t="str">
        <f t="shared" si="0"/>
        <v>C005-2025-09-24</v>
      </c>
      <c r="G22" t="str">
        <f t="shared" si="1"/>
        <v>Duplicate</v>
      </c>
    </row>
    <row r="23" spans="1:7" x14ac:dyDescent="0.35">
      <c r="A23" t="s">
        <v>8</v>
      </c>
      <c r="B23" t="s">
        <v>13</v>
      </c>
      <c r="C23" t="s">
        <v>29</v>
      </c>
      <c r="D23">
        <v>500000</v>
      </c>
      <c r="E23" s="2"/>
      <c r="F23" t="str">
        <f t="shared" si="0"/>
        <v>C005-2025-09-24</v>
      </c>
      <c r="G23" t="str">
        <f t="shared" si="1"/>
        <v>Duplicate</v>
      </c>
    </row>
    <row r="24" spans="1:7" x14ac:dyDescent="0.35">
      <c r="A24" t="s">
        <v>8</v>
      </c>
      <c r="B24" t="s">
        <v>13</v>
      </c>
      <c r="C24" t="s">
        <v>30</v>
      </c>
      <c r="D24">
        <v>1000000</v>
      </c>
      <c r="E24" t="s">
        <v>36</v>
      </c>
      <c r="F24" t="str">
        <f t="shared" si="0"/>
        <v>C005-2025-09-02</v>
      </c>
      <c r="G24" t="str">
        <f t="shared" si="1"/>
        <v>Ok</v>
      </c>
    </row>
    <row r="25" spans="1:7" x14ac:dyDescent="0.35">
      <c r="A25" t="s">
        <v>6</v>
      </c>
      <c r="B25" t="s">
        <v>11</v>
      </c>
      <c r="C25" t="s">
        <v>19</v>
      </c>
      <c r="D25">
        <v>1200000</v>
      </c>
      <c r="E25" t="s">
        <v>22</v>
      </c>
      <c r="F25" t="str">
        <f t="shared" si="0"/>
        <v>C002-2025-09-21</v>
      </c>
      <c r="G25" t="str">
        <f t="shared" si="1"/>
        <v>Duplicate</v>
      </c>
    </row>
    <row r="26" spans="1:7" x14ac:dyDescent="0.35">
      <c r="A26" t="s">
        <v>9</v>
      </c>
      <c r="B26" t="s">
        <v>14</v>
      </c>
      <c r="C26" t="s">
        <v>24</v>
      </c>
      <c r="D26">
        <v>700000</v>
      </c>
      <c r="E26" t="s">
        <v>27</v>
      </c>
      <c r="F26" t="str">
        <f t="shared" si="0"/>
        <v>C003-2025-09-04</v>
      </c>
      <c r="G26" t="str">
        <f t="shared" si="1"/>
        <v>Ok</v>
      </c>
    </row>
    <row r="27" spans="1:7" x14ac:dyDescent="0.35">
      <c r="A27" t="s">
        <v>8</v>
      </c>
      <c r="B27" t="s">
        <v>13</v>
      </c>
      <c r="C27" t="s">
        <v>31</v>
      </c>
      <c r="D27">
        <v>1200000</v>
      </c>
      <c r="E27" t="s">
        <v>16</v>
      </c>
      <c r="F27" t="str">
        <f t="shared" si="0"/>
        <v>C005-2025-09-13</v>
      </c>
      <c r="G27" t="str">
        <f t="shared" si="1"/>
        <v>Ok</v>
      </c>
    </row>
    <row r="28" spans="1:7" x14ac:dyDescent="0.35">
      <c r="A28" t="s">
        <v>6</v>
      </c>
      <c r="B28" t="s">
        <v>11</v>
      </c>
      <c r="C28" t="s">
        <v>26</v>
      </c>
      <c r="D28">
        <v>120000</v>
      </c>
      <c r="E28" t="s">
        <v>31</v>
      </c>
      <c r="F28" t="str">
        <f t="shared" si="0"/>
        <v>C002-2025-09-09</v>
      </c>
      <c r="G28" t="str">
        <f t="shared" si="1"/>
        <v>Ok</v>
      </c>
    </row>
    <row r="29" spans="1:7" x14ac:dyDescent="0.35">
      <c r="A29" t="s">
        <v>10</v>
      </c>
      <c r="B29" t="s">
        <v>15</v>
      </c>
      <c r="C29" t="s">
        <v>20</v>
      </c>
      <c r="D29">
        <v>1200000</v>
      </c>
      <c r="E29" t="s">
        <v>37</v>
      </c>
      <c r="F29" t="str">
        <f t="shared" si="0"/>
        <v>C001-2025-09-26</v>
      </c>
      <c r="G29" t="str">
        <f t="shared" si="1"/>
        <v>Ok</v>
      </c>
    </row>
    <row r="30" spans="1:7" x14ac:dyDescent="0.35">
      <c r="A30" t="s">
        <v>10</v>
      </c>
      <c r="B30" t="s">
        <v>15</v>
      </c>
      <c r="C30" t="s">
        <v>32</v>
      </c>
      <c r="D30">
        <v>100000</v>
      </c>
      <c r="E30" t="s">
        <v>38</v>
      </c>
      <c r="F30" t="str">
        <f t="shared" si="0"/>
        <v>C001-2025-09-05</v>
      </c>
      <c r="G30" t="str">
        <f t="shared" si="1"/>
        <v>Ok</v>
      </c>
    </row>
    <row r="31" spans="1:7" x14ac:dyDescent="0.35">
      <c r="A31" t="s">
        <v>9</v>
      </c>
      <c r="B31" t="s">
        <v>14</v>
      </c>
      <c r="C31" t="s">
        <v>20</v>
      </c>
      <c r="D31">
        <v>1000000</v>
      </c>
      <c r="E31" t="s">
        <v>31</v>
      </c>
      <c r="F31" t="str">
        <f t="shared" si="0"/>
        <v>C003-2025-09-26</v>
      </c>
      <c r="G31" t="str">
        <f t="shared" si="1"/>
        <v>Ok</v>
      </c>
    </row>
  </sheetData>
  <autoFilter ref="A1:G31" xr:uid="{00000000-0001-0000-0000-000000000000}"/>
  <conditionalFormatting sqref="D1:D31">
    <cfRule type="cellIs" dxfId="9" priority="4" operator="lessThan">
      <formula>100000</formula>
    </cfRule>
    <cfRule type="cellIs" dxfId="8" priority="3" operator="greaterThan">
      <formula>2000000</formula>
    </cfRule>
  </conditionalFormatting>
  <conditionalFormatting sqref="G1:G31">
    <cfRule type="expression" dxfId="0" priority="2">
      <formula>"""Duplicate"""</formula>
    </cfRule>
    <cfRule type="containsText" dxfId="1" priority="1" operator="containsText" text="Duplicate">
      <formula>NOT(ISERROR(SEARCH("Duplicate",G1)))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Reyhaneh</cp:lastModifiedBy>
  <dcterms:created xsi:type="dcterms:W3CDTF">2025-09-27T19:35:12Z</dcterms:created>
  <dcterms:modified xsi:type="dcterms:W3CDTF">2025-09-28T08:35:52Z</dcterms:modified>
</cp:coreProperties>
</file>