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reyha\Desktop\FBA.Dynamics365\"/>
    </mc:Choice>
  </mc:AlternateContent>
  <xr:revisionPtr revIDLastSave="0" documentId="13_ncr:1_{BFB2BC04-F242-4CDB-A4D4-00ECAE9487F9}" xr6:coauthVersionLast="47" xr6:coauthVersionMax="47" xr10:uidLastSave="{00000000-0000-0000-0000-000000000000}"/>
  <bookViews>
    <workbookView xWindow="-110" yWindow="-110" windowWidth="19420" windowHeight="10300" firstSheet="7" activeTab="9" xr2:uid="{00000000-000D-0000-FFFF-FFFF00000000}"/>
  </bookViews>
  <sheets>
    <sheet name="1.Cover Page" sheetId="11" r:id="rId1"/>
    <sheet name="2.Raw Data_original" sheetId="1" r:id="rId2"/>
    <sheet name="3.Raw Data_sort" sheetId="3" r:id="rId3"/>
    <sheet name="4.Cleaned_Data" sheetId="2" r:id="rId4"/>
    <sheet name="5.Report_Info" sheetId="5" r:id="rId5"/>
    <sheet name="6.ChangeLog" sheetId="7" r:id="rId6"/>
    <sheet name="7.1Aging_Report" sheetId="4" r:id="rId7"/>
    <sheet name="7.2 Aging_Report_Final" sheetId="6" r:id="rId8"/>
    <sheet name="8.1 Core_Validation_Test" sheetId="8" r:id="rId9"/>
    <sheet name="8.2 Structural_Validation_Test" sheetId="9" r:id="rId10"/>
    <sheet name="9.Dashboard_FBA_Quality" sheetId="10" r:id="rId11"/>
  </sheets>
  <definedNames>
    <definedName name="_xlnm._FilterDatabase" localSheetId="1" hidden="1">'2.Raw Data_original'!$A$1:$I$52</definedName>
    <definedName name="_xlnm._FilterDatabase" localSheetId="2" hidden="1">'3.Raw Data_sort'!$A$1:$K$53</definedName>
    <definedName name="_xlnm._FilterDatabase" localSheetId="3" hidden="1">'4.Cleaned_Data'!$F$1:$I$1</definedName>
    <definedName name="_xlnm._FilterDatabase" localSheetId="5" hidden="1">'6.ChangeLog'!$A$1:$J$1</definedName>
    <definedName name="_xlnm._FilterDatabase" localSheetId="7" hidden="1">'7.2 Aging_Report_Final'!$B$4:$G$11</definedName>
  </definedName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9" l="1"/>
  <c r="H5" i="9" s="1"/>
  <c r="G11" i="9"/>
  <c r="H11" i="9" s="1"/>
  <c r="G10" i="9"/>
  <c r="H10" i="9" s="1"/>
  <c r="G9" i="9"/>
  <c r="H9" i="9" s="1"/>
  <c r="G8" i="9"/>
  <c r="H8" i="9" s="1"/>
  <c r="G7" i="9"/>
  <c r="H7" i="9" s="1"/>
  <c r="G10" i="8" a="1"/>
  <c r="G10" i="8" s="1"/>
  <c r="H10" i="8" s="1"/>
  <c r="G9" i="8"/>
  <c r="H9" i="8" s="1"/>
  <c r="J2" i="2" a="1"/>
  <c r="J2" i="2" s="1"/>
  <c r="J3" i="2" a="1"/>
  <c r="J3" i="2" s="1"/>
  <c r="J4" i="2" a="1"/>
  <c r="J4" i="2" s="1"/>
  <c r="J5" i="2" a="1"/>
  <c r="J5" i="2" s="1"/>
  <c r="J6" i="2" a="1"/>
  <c r="J6" i="2" s="1"/>
  <c r="J7" i="2" a="1"/>
  <c r="J7" i="2" s="1"/>
  <c r="J8" i="2" a="1"/>
  <c r="J8" i="2" s="1"/>
  <c r="J9" i="2" a="1"/>
  <c r="J9" i="2" s="1"/>
  <c r="J10" i="2" a="1"/>
  <c r="J10" i="2" s="1"/>
  <c r="J11" i="2" a="1"/>
  <c r="J11" i="2" s="1"/>
  <c r="J12" i="2" a="1"/>
  <c r="J12" i="2" s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J18" i="2" a="1"/>
  <c r="J18" i="2" s="1"/>
  <c r="J19" i="2" a="1"/>
  <c r="J19" i="2" s="1"/>
  <c r="J20" i="2" a="1"/>
  <c r="J20" i="2" s="1"/>
  <c r="J21" i="2" a="1"/>
  <c r="J21" i="2" s="1"/>
  <c r="J22" i="2" a="1"/>
  <c r="J22" i="2" s="1"/>
  <c r="J23" i="2" a="1"/>
  <c r="J23" i="2" s="1"/>
  <c r="J24" i="2" a="1"/>
  <c r="J24" i="2" s="1"/>
  <c r="J25" i="2" a="1"/>
  <c r="J25" i="2" s="1"/>
  <c r="J26" i="2" a="1"/>
  <c r="J26" i="2" s="1"/>
  <c r="J27" i="2" a="1"/>
  <c r="J27" i="2" s="1"/>
  <c r="J28" i="2" a="1"/>
  <c r="J28" i="2" s="1"/>
  <c r="J29" i="2" a="1"/>
  <c r="J29" i="2" s="1"/>
  <c r="J30" i="2" a="1"/>
  <c r="J30" i="2" s="1"/>
  <c r="J31" i="2" a="1"/>
  <c r="J31" i="2" s="1"/>
  <c r="J32" i="2" a="1"/>
  <c r="J32" i="2" s="1"/>
  <c r="J33" i="2" a="1"/>
  <c r="J33" i="2" s="1"/>
  <c r="J34" i="2" a="1"/>
  <c r="J34" i="2" s="1"/>
  <c r="J35" i="2" a="1"/>
  <c r="J35" i="2" s="1"/>
  <c r="J36" i="2" a="1"/>
  <c r="J36" i="2" s="1"/>
  <c r="J37" i="2" a="1"/>
  <c r="J37" i="2" s="1"/>
  <c r="J38" i="2" a="1"/>
  <c r="J38" i="2" s="1"/>
  <c r="J39" i="2" a="1"/>
  <c r="J39" i="2" s="1"/>
  <c r="J40" i="2" a="1"/>
  <c r="J40" i="2" s="1"/>
  <c r="J41" i="2" a="1"/>
  <c r="J41" i="2" s="1"/>
  <c r="J42" i="2" a="1"/>
  <c r="J42" i="2" s="1"/>
  <c r="J43" i="2" a="1"/>
  <c r="J43" i="2" s="1"/>
  <c r="J44" i="2" a="1"/>
  <c r="J44" i="2" s="1"/>
  <c r="J45" i="2" a="1"/>
  <c r="J45" i="2" s="1"/>
  <c r="J46" i="2" a="1"/>
  <c r="J46" i="2" s="1"/>
  <c r="J47" i="2" a="1"/>
  <c r="J47" i="2" s="1"/>
  <c r="J48" i="2" a="1"/>
  <c r="J48" i="2" s="1"/>
  <c r="J49" i="2" a="1"/>
  <c r="J49" i="2" s="1"/>
  <c r="J50" i="2" a="1"/>
  <c r="J50" i="2" s="1"/>
  <c r="J51" i="2" a="1"/>
  <c r="J51" i="2" s="1"/>
  <c r="J52" i="2" a="1"/>
  <c r="J52" i="2" s="1"/>
  <c r="L4" i="7"/>
  <c r="J52" i="3"/>
  <c r="J53" i="3"/>
  <c r="L2" i="2" a="1"/>
  <c r="L2" i="2" s="1"/>
  <c r="L3" i="2" a="1"/>
  <c r="L3" i="2" s="1"/>
  <c r="L4" i="2" a="1"/>
  <c r="L4" i="2" s="1"/>
  <c r="L5" i="2" a="1"/>
  <c r="L5" i="2" s="1"/>
  <c r="L6" i="2" a="1"/>
  <c r="L6" i="2" s="1"/>
  <c r="L7" i="2" a="1"/>
  <c r="L7" i="2" s="1"/>
  <c r="L8" i="2" a="1"/>
  <c r="L8" i="2" s="1"/>
  <c r="L9" i="2" a="1"/>
  <c r="L9" i="2" s="1"/>
  <c r="L10" i="2" a="1"/>
  <c r="L10" i="2" s="1"/>
  <c r="L11" i="2" a="1"/>
  <c r="L11" i="2" s="1"/>
  <c r="L12" i="2" a="1"/>
  <c r="L12" i="2" s="1"/>
  <c r="L13" i="2" a="1"/>
  <c r="L13" i="2" s="1"/>
  <c r="L14" i="2" a="1"/>
  <c r="L14" i="2" s="1"/>
  <c r="L15" i="2" a="1"/>
  <c r="L15" i="2" s="1"/>
  <c r="L16" i="2" a="1"/>
  <c r="L16" i="2" s="1"/>
  <c r="L17" i="2" a="1"/>
  <c r="L17" i="2" s="1"/>
  <c r="L18" i="2" a="1"/>
  <c r="L18" i="2" s="1"/>
  <c r="L19" i="2" a="1"/>
  <c r="L19" i="2" s="1"/>
  <c r="L20" i="2" a="1"/>
  <c r="L20" i="2" s="1"/>
  <c r="L21" i="2" a="1"/>
  <c r="L21" i="2" s="1"/>
  <c r="L22" i="2" a="1"/>
  <c r="L22" i="2" s="1"/>
  <c r="L23" i="2" a="1"/>
  <c r="L23" i="2" s="1"/>
  <c r="L24" i="2" a="1"/>
  <c r="L24" i="2" s="1"/>
  <c r="L25" i="2" a="1"/>
  <c r="L25" i="2" s="1"/>
  <c r="L26" i="2" a="1"/>
  <c r="L26" i="2" s="1"/>
  <c r="L27" i="2" a="1"/>
  <c r="L27" i="2" s="1"/>
  <c r="L28" i="2" a="1"/>
  <c r="L28" i="2" s="1"/>
  <c r="L29" i="2" a="1"/>
  <c r="L29" i="2" s="1"/>
  <c r="L30" i="2" a="1"/>
  <c r="L30" i="2" s="1"/>
  <c r="L31" i="2" a="1"/>
  <c r="L31" i="2" s="1"/>
  <c r="L32" i="2" a="1"/>
  <c r="L32" i="2" s="1"/>
  <c r="L33" i="2" a="1"/>
  <c r="L33" i="2" s="1"/>
  <c r="L34" i="2" a="1"/>
  <c r="L34" i="2" s="1"/>
  <c r="L35" i="2" a="1"/>
  <c r="L35" i="2" s="1"/>
  <c r="L36" i="2" a="1"/>
  <c r="L36" i="2" s="1"/>
  <c r="L37" i="2" a="1"/>
  <c r="L37" i="2" s="1"/>
  <c r="L38" i="2" a="1"/>
  <c r="L38" i="2" s="1"/>
  <c r="L39" i="2" a="1"/>
  <c r="L39" i="2" s="1"/>
  <c r="L40" i="2" a="1"/>
  <c r="L40" i="2" s="1"/>
  <c r="L41" i="2" a="1"/>
  <c r="L41" i="2" s="1"/>
  <c r="L42" i="2" a="1"/>
  <c r="L42" i="2" s="1"/>
  <c r="L43" i="2" a="1"/>
  <c r="L43" i="2" s="1"/>
  <c r="L44" i="2" a="1"/>
  <c r="L44" i="2" s="1"/>
  <c r="L45" i="2" a="1"/>
  <c r="L45" i="2" s="1"/>
  <c r="L46" i="2" a="1"/>
  <c r="L46" i="2" s="1"/>
  <c r="L47" i="2" a="1"/>
  <c r="L47" i="2" s="1"/>
  <c r="L48" i="2" a="1"/>
  <c r="L48" i="2" s="1"/>
  <c r="L49" i="2" a="1"/>
  <c r="L49" i="2" s="1"/>
  <c r="L50" i="2" a="1"/>
  <c r="L50" i="2" s="1"/>
  <c r="L51" i="2" a="1"/>
  <c r="L51" i="2" s="1"/>
  <c r="L52" i="2" a="1"/>
  <c r="L52" i="2" s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M51" i="2"/>
  <c r="M5" i="2"/>
  <c r="M38" i="2"/>
  <c r="M2" i="2"/>
  <c r="M3" i="2"/>
  <c r="M4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9" i="2"/>
  <c r="M40" i="2"/>
  <c r="M41" i="2"/>
  <c r="M42" i="2"/>
  <c r="M43" i="2"/>
  <c r="M44" i="2"/>
  <c r="M45" i="2"/>
  <c r="M46" i="2"/>
  <c r="M47" i="2"/>
  <c r="M48" i="2"/>
  <c r="M49" i="2"/>
  <c r="M50" i="2"/>
  <c r="M52" i="2"/>
  <c r="K13" i="2"/>
  <c r="K33" i="2"/>
  <c r="K2" i="2"/>
  <c r="K3" i="2"/>
  <c r="K4" i="2"/>
  <c r="K5" i="2"/>
  <c r="K6" i="2"/>
  <c r="K7" i="2"/>
  <c r="K8" i="2"/>
  <c r="K9" i="2"/>
  <c r="K10" i="2"/>
  <c r="K11" i="2"/>
  <c r="K12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2" i="3"/>
  <c r="E53" i="2"/>
  <c r="K46" i="3"/>
  <c r="K42" i="3"/>
  <c r="J13" i="3"/>
  <c r="K12" i="3"/>
  <c r="H2" i="2"/>
  <c r="I2" i="2" s="1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K26" i="3"/>
  <c r="J30" i="3"/>
  <c r="I13" i="1"/>
  <c r="K53" i="3"/>
  <c r="K52" i="3"/>
  <c r="K51" i="3"/>
  <c r="H53" i="3"/>
  <c r="K34" i="3"/>
  <c r="K11" i="3"/>
  <c r="J34" i="3"/>
  <c r="J12" i="3"/>
  <c r="J35" i="3"/>
  <c r="J36" i="3"/>
  <c r="J38" i="3"/>
  <c r="J14" i="3"/>
  <c r="J39" i="3"/>
  <c r="J15" i="3"/>
  <c r="J22" i="3"/>
  <c r="J23" i="3"/>
  <c r="J2" i="3"/>
  <c r="J40" i="3"/>
  <c r="J37" i="3"/>
  <c r="J24" i="3"/>
  <c r="J3" i="3"/>
  <c r="J25" i="3"/>
  <c r="J26" i="3"/>
  <c r="J4" i="3"/>
  <c r="J27" i="3"/>
  <c r="J41" i="3"/>
  <c r="J42" i="3"/>
  <c r="J43" i="3"/>
  <c r="J16" i="3"/>
  <c r="J28" i="3"/>
  <c r="J44" i="3"/>
  <c r="J17" i="3"/>
  <c r="J5" i="3"/>
  <c r="J6" i="3"/>
  <c r="J29" i="3"/>
  <c r="J45" i="3"/>
  <c r="J46" i="3"/>
  <c r="J47" i="3"/>
  <c r="J18" i="3"/>
  <c r="J31" i="3"/>
  <c r="J48" i="3"/>
  <c r="J19" i="3"/>
  <c r="J7" i="3"/>
  <c r="J8" i="3"/>
  <c r="J32" i="3"/>
  <c r="J9" i="3"/>
  <c r="J33" i="3"/>
  <c r="J49" i="3"/>
  <c r="J50" i="3"/>
  <c r="J51" i="3"/>
  <c r="J20" i="3"/>
  <c r="J21" i="3"/>
  <c r="J10" i="3"/>
  <c r="J11" i="3"/>
  <c r="H20" i="3"/>
  <c r="H11" i="3"/>
  <c r="K9" i="3"/>
  <c r="H33" i="3"/>
  <c r="H49" i="3"/>
  <c r="H50" i="3"/>
  <c r="H51" i="3"/>
  <c r="H34" i="3"/>
  <c r="H52" i="3"/>
  <c r="H21" i="3"/>
  <c r="H10" i="3"/>
  <c r="H9" i="3"/>
  <c r="K10" i="3"/>
  <c r="K21" i="3"/>
  <c r="K20" i="3"/>
  <c r="K50" i="3"/>
  <c r="K49" i="3"/>
  <c r="K33" i="3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F43" i="1"/>
  <c r="F44" i="1"/>
  <c r="F45" i="1"/>
  <c r="F46" i="1"/>
  <c r="F47" i="1"/>
  <c r="F48" i="1"/>
  <c r="F49" i="1"/>
  <c r="F50" i="1"/>
  <c r="F51" i="1"/>
  <c r="F52" i="1"/>
  <c r="K32" i="3"/>
  <c r="H32" i="3"/>
  <c r="K8" i="3"/>
  <c r="H8" i="3"/>
  <c r="K7" i="3"/>
  <c r="H7" i="3"/>
  <c r="K19" i="3"/>
  <c r="H19" i="3"/>
  <c r="K48" i="3"/>
  <c r="H48" i="3"/>
  <c r="K31" i="3"/>
  <c r="H31" i="3"/>
  <c r="K18" i="3"/>
  <c r="H18" i="3"/>
  <c r="K47" i="3"/>
  <c r="H47" i="3"/>
  <c r="H46" i="3"/>
  <c r="K45" i="3"/>
  <c r="H45" i="3"/>
  <c r="K30" i="3"/>
  <c r="H30" i="3"/>
  <c r="K29" i="3"/>
  <c r="H29" i="3"/>
  <c r="K6" i="3"/>
  <c r="H6" i="3"/>
  <c r="K5" i="3"/>
  <c r="H5" i="3"/>
  <c r="K17" i="3"/>
  <c r="H17" i="3"/>
  <c r="K44" i="3"/>
  <c r="H44" i="3"/>
  <c r="K28" i="3"/>
  <c r="H28" i="3"/>
  <c r="K16" i="3"/>
  <c r="H16" i="3"/>
  <c r="K43" i="3"/>
  <c r="H43" i="3"/>
  <c r="H42" i="3"/>
  <c r="K41" i="3"/>
  <c r="H41" i="3"/>
  <c r="K27" i="3"/>
  <c r="H27" i="3"/>
  <c r="K4" i="3"/>
  <c r="H4" i="3"/>
  <c r="H26" i="3"/>
  <c r="K25" i="3"/>
  <c r="H25" i="3"/>
  <c r="K3" i="3"/>
  <c r="H3" i="3"/>
  <c r="K24" i="3"/>
  <c r="H24" i="3"/>
  <c r="K37" i="3"/>
  <c r="H37" i="3"/>
  <c r="K40" i="3"/>
  <c r="H40" i="3"/>
  <c r="K2" i="3"/>
  <c r="H2" i="3"/>
  <c r="K23" i="3"/>
  <c r="H23" i="3"/>
  <c r="K22" i="3"/>
  <c r="H22" i="3"/>
  <c r="K15" i="3"/>
  <c r="H15" i="3"/>
  <c r="K39" i="3"/>
  <c r="H39" i="3"/>
  <c r="K14" i="3"/>
  <c r="H14" i="3"/>
  <c r="K38" i="3"/>
  <c r="H38" i="3"/>
  <c r="K36" i="3"/>
  <c r="H36" i="3"/>
  <c r="K35" i="3"/>
  <c r="H35" i="3"/>
  <c r="K13" i="3"/>
  <c r="H13" i="3"/>
  <c r="H12" i="3"/>
  <c r="I19" i="1"/>
  <c r="H4" i="1"/>
  <c r="H3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2" i="1"/>
  <c r="I34" i="1"/>
  <c r="I5" i="1"/>
  <c r="I4" i="1"/>
  <c r="I3" i="1"/>
  <c r="I6" i="1"/>
  <c r="I7" i="1"/>
  <c r="I8" i="1"/>
  <c r="I9" i="1"/>
  <c r="I10" i="1"/>
  <c r="I11" i="1"/>
  <c r="I12" i="1"/>
  <c r="I14" i="1"/>
  <c r="I15" i="1"/>
  <c r="I16" i="1"/>
  <c r="I17" i="1"/>
  <c r="I18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5" i="1"/>
  <c r="I36" i="1"/>
  <c r="I37" i="1"/>
  <c r="I38" i="1"/>
  <c r="I39" i="1"/>
  <c r="I40" i="1"/>
  <c r="I41" i="1"/>
  <c r="I2" i="1"/>
  <c r="H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3" i="1"/>
  <c r="H34" i="1"/>
  <c r="H35" i="1"/>
  <c r="H36" i="1"/>
  <c r="H37" i="1"/>
  <c r="H38" i="1"/>
  <c r="H39" i="1"/>
  <c r="H40" i="1"/>
  <c r="H41" i="1"/>
  <c r="H42" i="1"/>
  <c r="H2" i="1"/>
  <c r="G4" i="9"/>
  <c r="H4" i="9" l="1"/>
  <c r="G6" i="9"/>
  <c r="H6" i="9" s="1"/>
  <c r="G8" i="8"/>
  <c r="H8" i="8" s="1"/>
  <c r="I52" i="3"/>
  <c r="I53" i="3"/>
  <c r="G6" i="8"/>
  <c r="H6" i="8" s="1"/>
  <c r="G4" i="8"/>
  <c r="H4" i="8" s="1"/>
  <c r="N45" i="2"/>
  <c r="N23" i="2"/>
  <c r="P23" i="2" s="1"/>
  <c r="N47" i="2"/>
  <c r="P47" i="2" s="1"/>
  <c r="N39" i="2"/>
  <c r="P39" i="2" s="1"/>
  <c r="N30" i="2"/>
  <c r="N31" i="2"/>
  <c r="N15" i="2"/>
  <c r="N46" i="2"/>
  <c r="P46" i="2" s="1"/>
  <c r="N37" i="2"/>
  <c r="N29" i="2"/>
  <c r="N36" i="2"/>
  <c r="N44" i="2"/>
  <c r="P44" i="2" s="1"/>
  <c r="N35" i="2"/>
  <c r="P35" i="2" s="1"/>
  <c r="N27" i="2"/>
  <c r="N19" i="2"/>
  <c r="N52" i="2"/>
  <c r="P52" i="2" s="1"/>
  <c r="N43" i="2"/>
  <c r="P43" i="2" s="1"/>
  <c r="N34" i="2"/>
  <c r="N26" i="2"/>
  <c r="N18" i="2"/>
  <c r="N50" i="2"/>
  <c r="P50" i="2" s="1"/>
  <c r="N42" i="2"/>
  <c r="P42" i="2" s="1"/>
  <c r="N33" i="2"/>
  <c r="N25" i="2"/>
  <c r="P25" i="2" s="1"/>
  <c r="N7" i="2"/>
  <c r="N22" i="2"/>
  <c r="P22" i="2" s="1"/>
  <c r="N14" i="2"/>
  <c r="P14" i="2" s="1"/>
  <c r="N6" i="2"/>
  <c r="P6" i="2" s="1"/>
  <c r="N21" i="2"/>
  <c r="P21" i="2" s="1"/>
  <c r="N13" i="2"/>
  <c r="N4" i="2"/>
  <c r="N28" i="2"/>
  <c r="P28" i="2" s="1"/>
  <c r="N20" i="2"/>
  <c r="P20" i="2" s="1"/>
  <c r="N12" i="2"/>
  <c r="P12" i="2" s="1"/>
  <c r="N3" i="2"/>
  <c r="N11" i="2"/>
  <c r="N2" i="2"/>
  <c r="N10" i="2"/>
  <c r="N38" i="2"/>
  <c r="N17" i="2"/>
  <c r="P17" i="2" s="1"/>
  <c r="N9" i="2"/>
  <c r="P9" i="2" s="1"/>
  <c r="N5" i="2"/>
  <c r="P5" i="2" s="1"/>
  <c r="N49" i="2"/>
  <c r="N41" i="2"/>
  <c r="P41" i="2" s="1"/>
  <c r="N51" i="2"/>
  <c r="N8" i="2"/>
  <c r="N32" i="2"/>
  <c r="N16" i="2"/>
  <c r="P16" i="2" s="1"/>
  <c r="N40" i="2"/>
  <c r="P40" i="2" s="1"/>
  <c r="N48" i="2"/>
  <c r="P48" i="2" s="1"/>
  <c r="N24" i="2"/>
  <c r="I40" i="3"/>
  <c r="I53" i="2"/>
  <c r="I33" i="3"/>
  <c r="I7" i="3"/>
  <c r="I20" i="3"/>
  <c r="I30" i="3"/>
  <c r="I39" i="3"/>
  <c r="I24" i="3"/>
  <c r="I19" i="3"/>
  <c r="I42" i="3"/>
  <c r="I37" i="3"/>
  <c r="I38" i="3"/>
  <c r="I50" i="3"/>
  <c r="I48" i="3"/>
  <c r="I6" i="3"/>
  <c r="I41" i="3"/>
  <c r="I36" i="3"/>
  <c r="I43" i="3"/>
  <c r="I49" i="3"/>
  <c r="I2" i="3"/>
  <c r="I10" i="3"/>
  <c r="I18" i="3"/>
  <c r="I17" i="3"/>
  <c r="I4" i="3"/>
  <c r="I23" i="3"/>
  <c r="I13" i="3"/>
  <c r="I29" i="3"/>
  <c r="I5" i="3"/>
  <c r="I35" i="3"/>
  <c r="I21" i="3"/>
  <c r="I9" i="3"/>
  <c r="I47" i="3"/>
  <c r="I44" i="3"/>
  <c r="I26" i="3"/>
  <c r="I22" i="3"/>
  <c r="I12" i="3"/>
  <c r="I14" i="3"/>
  <c r="I31" i="3"/>
  <c r="I32" i="3"/>
  <c r="I46" i="3"/>
  <c r="I28" i="3"/>
  <c r="I25" i="3"/>
  <c r="I15" i="3"/>
  <c r="I51" i="3"/>
  <c r="I11" i="3"/>
  <c r="I27" i="3"/>
  <c r="I34" i="3"/>
  <c r="I8" i="3"/>
  <c r="I45" i="3"/>
  <c r="I16" i="3"/>
  <c r="I3" i="3"/>
  <c r="G48" i="1"/>
  <c r="G51" i="1"/>
  <c r="G45" i="1"/>
  <c r="G50" i="1"/>
  <c r="G47" i="1"/>
  <c r="G44" i="1"/>
  <c r="G52" i="1"/>
  <c r="G49" i="1"/>
  <c r="G46" i="1"/>
  <c r="G43" i="1"/>
  <c r="G7" i="1"/>
  <c r="G8" i="1"/>
  <c r="G36" i="1"/>
  <c r="G28" i="1"/>
  <c r="G20" i="1"/>
  <c r="G12" i="1"/>
  <c r="G35" i="1"/>
  <c r="G4" i="1"/>
  <c r="G27" i="1"/>
  <c r="G3" i="1"/>
  <c r="G26" i="1"/>
  <c r="G18" i="1"/>
  <c r="G10" i="1"/>
  <c r="G41" i="1"/>
  <c r="G33" i="1"/>
  <c r="G25" i="1"/>
  <c r="G17" i="1"/>
  <c r="G9" i="1"/>
  <c r="G40" i="1"/>
  <c r="G32" i="1"/>
  <c r="G24" i="1"/>
  <c r="G16" i="1"/>
  <c r="G39" i="1"/>
  <c r="G31" i="1"/>
  <c r="G23" i="1"/>
  <c r="G15" i="1"/>
  <c r="G38" i="1"/>
  <c r="G30" i="1"/>
  <c r="G22" i="1"/>
  <c r="G14" i="1"/>
  <c r="G6" i="1"/>
  <c r="G2" i="1"/>
  <c r="G5" i="1"/>
  <c r="G42" i="1"/>
  <c r="G34" i="1"/>
  <c r="G21" i="1"/>
  <c r="G13" i="1"/>
  <c r="G37" i="1"/>
  <c r="G29" i="1"/>
  <c r="G19" i="1"/>
  <c r="G11" i="1"/>
  <c r="P2" i="2" l="1"/>
  <c r="Q2" i="2" s="1"/>
  <c r="G5" i="8"/>
  <c r="H5" i="8" s="1"/>
  <c r="S21" i="2"/>
  <c r="Q41" i="2"/>
  <c r="S41" i="2"/>
  <c r="R41" i="2"/>
  <c r="S6" i="2"/>
  <c r="R6" i="2"/>
  <c r="R44" i="2"/>
  <c r="S44" i="2"/>
  <c r="Q39" i="2"/>
  <c r="R39" i="2" s="1"/>
  <c r="S39" i="2"/>
  <c r="S2" i="2"/>
  <c r="R35" i="2"/>
  <c r="S35" i="2"/>
  <c r="S14" i="2"/>
  <c r="R14" i="2"/>
  <c r="S47" i="2"/>
  <c r="R47" i="2"/>
  <c r="S40" i="2"/>
  <c r="R40" i="2"/>
  <c r="S50" i="2"/>
  <c r="S48" i="2"/>
  <c r="R48" i="2"/>
  <c r="S5" i="2"/>
  <c r="R12" i="2"/>
  <c r="S12" i="2"/>
  <c r="S22" i="2"/>
  <c r="S23" i="2"/>
  <c r="S9" i="2"/>
  <c r="R9" i="2"/>
  <c r="R20" i="2"/>
  <c r="S20" i="2"/>
  <c r="S43" i="2"/>
  <c r="S16" i="2"/>
  <c r="R16" i="2"/>
  <c r="S17" i="2"/>
  <c r="S28" i="2"/>
  <c r="S25" i="2"/>
  <c r="S52" i="2"/>
  <c r="S46" i="2"/>
  <c r="R46" i="2"/>
  <c r="S42" i="2"/>
  <c r="R42" i="2"/>
  <c r="Q35" i="2"/>
  <c r="Q6" i="2"/>
  <c r="Q44" i="2"/>
  <c r="Q14" i="2"/>
  <c r="Q47" i="2"/>
  <c r="Q21" i="2"/>
  <c r="R21" i="2" s="1"/>
  <c r="Q48" i="2"/>
  <c r="Q5" i="2"/>
  <c r="R5" i="2" s="1"/>
  <c r="Q12" i="2"/>
  <c r="Q22" i="2"/>
  <c r="R22" i="2" s="1"/>
  <c r="Q23" i="2"/>
  <c r="R23" i="2" s="1"/>
  <c r="Q50" i="2"/>
  <c r="R50" i="2" s="1"/>
  <c r="Q40" i="2"/>
  <c r="Q16" i="2"/>
  <c r="Q17" i="2"/>
  <c r="R17" i="2" s="1"/>
  <c r="Q28" i="2"/>
  <c r="R28" i="2" s="1"/>
  <c r="Q25" i="2"/>
  <c r="R25" i="2" s="1"/>
  <c r="Q52" i="2"/>
  <c r="R52" i="2" s="1"/>
  <c r="Q46" i="2"/>
  <c r="Q9" i="2"/>
  <c r="Q43" i="2"/>
  <c r="R43" i="2" s="1"/>
  <c r="Q20" i="2"/>
  <c r="Q42" i="2"/>
  <c r="P3" i="2"/>
  <c r="P31" i="2"/>
  <c r="P51" i="2"/>
  <c r="P4" i="2"/>
  <c r="P13" i="2"/>
  <c r="P30" i="2"/>
  <c r="P10" i="2"/>
  <c r="P38" i="2"/>
  <c r="P8" i="2"/>
  <c r="P18" i="2"/>
  <c r="P11" i="2"/>
  <c r="P29" i="2"/>
  <c r="P33" i="2"/>
  <c r="P26" i="2"/>
  <c r="P19" i="2"/>
  <c r="P37" i="2"/>
  <c r="P7" i="2"/>
  <c r="P24" i="2"/>
  <c r="P34" i="2"/>
  <c r="P27" i="2"/>
  <c r="P36" i="2"/>
  <c r="P45" i="2"/>
  <c r="P15" i="2"/>
  <c r="P32" i="2"/>
  <c r="P49" i="2"/>
  <c r="R2" i="2" l="1"/>
  <c r="S3" i="2"/>
  <c r="Q7" i="2"/>
  <c r="S7" i="2"/>
  <c r="R7" i="2"/>
  <c r="Q32" i="2"/>
  <c r="R32" i="2" s="1"/>
  <c r="S32" i="2"/>
  <c r="Q37" i="2"/>
  <c r="R37" i="2" s="1"/>
  <c r="S37" i="2"/>
  <c r="Q38" i="2"/>
  <c r="R38" i="2" s="1"/>
  <c r="S38" i="2"/>
  <c r="Q31" i="2"/>
  <c r="S31" i="2"/>
  <c r="R31" i="2"/>
  <c r="Q49" i="2"/>
  <c r="R49" i="2" s="1"/>
  <c r="S49" i="2"/>
  <c r="Q15" i="2"/>
  <c r="R15" i="2" s="1"/>
  <c r="S15" i="2"/>
  <c r="Q19" i="2"/>
  <c r="R19" i="2"/>
  <c r="S19" i="2"/>
  <c r="Q10" i="2"/>
  <c r="R10" i="2" s="1"/>
  <c r="S10" i="2"/>
  <c r="Q18" i="2"/>
  <c r="R18" i="2" s="1"/>
  <c r="S18" i="2"/>
  <c r="Q8" i="2"/>
  <c r="R8" i="2" s="1"/>
  <c r="S8" i="2"/>
  <c r="Q45" i="2"/>
  <c r="R45" i="2" s="1"/>
  <c r="S45" i="2"/>
  <c r="Q26" i="2"/>
  <c r="R26" i="2" s="1"/>
  <c r="S26" i="2"/>
  <c r="Q30" i="2"/>
  <c r="R30" i="2" s="1"/>
  <c r="S30" i="2"/>
  <c r="Q24" i="2"/>
  <c r="R24" i="2" s="1"/>
  <c r="S24" i="2"/>
  <c r="Q36" i="2"/>
  <c r="R36" i="2" s="1"/>
  <c r="S36" i="2"/>
  <c r="Q33" i="2"/>
  <c r="R33" i="2" s="1"/>
  <c r="S33" i="2"/>
  <c r="Q13" i="2"/>
  <c r="R13" i="2" s="1"/>
  <c r="S13" i="2"/>
  <c r="Q27" i="2"/>
  <c r="R27" i="2"/>
  <c r="S27" i="2"/>
  <c r="Q29" i="2"/>
  <c r="R29" i="2"/>
  <c r="S29" i="2"/>
  <c r="Q4" i="2"/>
  <c r="R4" i="2"/>
  <c r="S4" i="2"/>
  <c r="Q34" i="2"/>
  <c r="R34" i="2" s="1"/>
  <c r="S34" i="2"/>
  <c r="Q11" i="2"/>
  <c r="R11" i="2" s="1"/>
  <c r="S11" i="2"/>
  <c r="Q51" i="2"/>
  <c r="R51" i="2" s="1"/>
  <c r="S51" i="2"/>
  <c r="Q3" i="2"/>
  <c r="R3" i="2" s="1"/>
  <c r="G12" i="9" l="1"/>
  <c r="H12" i="9" s="1"/>
  <c r="J7" i="10" s="1"/>
  <c r="G7" i="8" a="1"/>
  <c r="G7" i="8" s="1"/>
  <c r="H7" i="8" s="1"/>
  <c r="C4" i="10" l="1"/>
  <c r="C3" i="10"/>
  <c r="K2" i="10"/>
  <c r="C12" i="8"/>
  <c r="C14" i="9"/>
  <c r="K3" i="10"/>
  <c r="G4" i="10"/>
  <c r="G3" i="10"/>
  <c r="K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Reyhaneh Hajili</author>
  </authors>
  <commentList>
    <comment ref="D1" authorId="0" shapeId="0" xr:uid="{19EC867E-9724-463B-AA5B-F1D2B9B0E90C}">
      <text>
        <r>
          <rPr>
            <b/>
            <sz val="9"/>
            <color indexed="81"/>
            <rFont val="Tahoma"/>
            <family val="2"/>
          </rPr>
          <t>Reyhaneh Hajili:</t>
        </r>
        <r>
          <rPr>
            <sz val="9"/>
            <color indexed="81"/>
            <rFont val="Tahoma"/>
            <family val="2"/>
          </rPr>
          <t xml:space="preserve">
for finding the values less than 100,000 and greater than 1,000,000
-ERROR
MISING DATA</t>
        </r>
      </text>
    </comment>
    <comment ref="E1" authorId="0" shapeId="0" xr:uid="{05CFC42B-6AEA-44DD-BCF2-9937D270DE0D}">
      <text>
        <r>
          <rPr>
            <b/>
            <sz val="9"/>
            <color indexed="81"/>
            <rFont val="Tahoma"/>
            <family val="2"/>
          </rPr>
          <t>Reyhaneh Hajili:</t>
        </r>
        <r>
          <rPr>
            <sz val="9"/>
            <color indexed="81"/>
            <rFont val="Tahoma"/>
            <family val="2"/>
          </rPr>
          <t xml:space="preserve">
for finding the blank value in cell- ERROR
 MISING DATA</t>
        </r>
      </text>
    </comment>
    <comment ref="G1" authorId="0" shapeId="0" xr:uid="{B7962796-3B9E-4B57-8B55-E677D919D1A0}">
      <text>
        <r>
          <rPr>
            <b/>
            <sz val="9"/>
            <color indexed="81"/>
            <rFont val="Tahoma"/>
            <charset val="1"/>
          </rPr>
          <t>Reyhaneh Hajili:</t>
        </r>
        <r>
          <rPr>
            <sz val="9"/>
            <color indexed="81"/>
            <rFont val="Tahoma"/>
            <charset val="1"/>
          </rPr>
          <t xml:space="preserve">
duplicate data / error
3. ترکیب CustomerID + InvoiceDate
این ترکیب می‌گه: "این مشتری در این تاریخ یک فاکتور داشته است".
پس اگر دوباره دقیقاً همین ترکیب در داده دیده بشه، احتمالاً یک رکورد تکراری هست.
</t>
        </r>
      </text>
    </comment>
    <comment ref="H1" authorId="0" shapeId="0" xr:uid="{93408FD7-200C-41DD-BFA3-7DD57A59C079}">
      <text>
        <r>
          <rPr>
            <b/>
            <sz val="9"/>
            <color indexed="81"/>
            <rFont val="Tahoma"/>
            <charset val="1"/>
          </rPr>
          <t>Reyhaneh Hajili:</t>
        </r>
        <r>
          <rPr>
            <sz val="9"/>
            <color indexed="81"/>
            <rFont val="Tahoma"/>
            <charset val="1"/>
          </rPr>
          <t xml:space="preserve">
inconsistent data / error
btw column A and B.</t>
        </r>
      </text>
    </comment>
    <comment ref="I1" authorId="0" shapeId="0" xr:uid="{700886F3-B653-4114-A37E-1508D336E7E9}">
      <text>
        <r>
          <rPr>
            <b/>
            <sz val="9"/>
            <color indexed="81"/>
            <rFont val="Tahoma"/>
            <family val="2"/>
          </rPr>
          <t>Reyhaneh Hajili:</t>
        </r>
        <r>
          <rPr>
            <sz val="9"/>
            <color indexed="81"/>
            <rFont val="Tahoma"/>
            <family val="2"/>
          </rPr>
          <t xml:space="preserve">
inconsistent data btw column c and e
inconsistent = paymentdata&lt; invoicedata. 
Yani, pardakht shode bad invoice sader shode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Reyhaneh Hajili</author>
  </authors>
  <commentList>
    <comment ref="E1" authorId="0" shapeId="0" xr:uid="{DB59D3F5-0B9A-412E-98B8-8A8EE5EAF8A8}">
      <text>
        <r>
          <rPr>
            <b/>
            <sz val="9"/>
            <color indexed="81"/>
            <rFont val="Tahoma"/>
            <family val="2"/>
          </rPr>
          <t>Reyhaneh Hajili:</t>
        </r>
        <r>
          <rPr>
            <sz val="9"/>
            <color indexed="81"/>
            <rFont val="Tahoma"/>
            <family val="2"/>
          </rPr>
          <t xml:space="preserve">
for finding the values less than 100,000 and greater than 1,000,000
-ERROR
MISING DATA</t>
        </r>
      </text>
    </comment>
    <comment ref="F1" authorId="0" shapeId="0" xr:uid="{1D3C9F1A-32A3-47CC-86F0-600EE98B653C}">
      <text>
        <r>
          <rPr>
            <b/>
            <sz val="9"/>
            <color indexed="81"/>
            <rFont val="Tahoma"/>
            <family val="2"/>
          </rPr>
          <t>Reyhaneh Hajili:</t>
        </r>
        <r>
          <rPr>
            <sz val="9"/>
            <color indexed="81"/>
            <rFont val="Tahoma"/>
            <family val="2"/>
          </rPr>
          <t xml:space="preserve">
for finding the blank value in cell- ERROR
 MISING DATA</t>
        </r>
      </text>
    </comment>
    <comment ref="I1" authorId="0" shapeId="0" xr:uid="{94F027BF-E347-48B4-8CD1-2B915A5E42E7}">
      <text>
        <r>
          <rPr>
            <b/>
            <sz val="9"/>
            <color indexed="81"/>
            <rFont val="Tahoma"/>
            <charset val="1"/>
          </rPr>
          <t>Reyhaneh Hajili:</t>
        </r>
        <r>
          <rPr>
            <sz val="9"/>
            <color indexed="81"/>
            <rFont val="Tahoma"/>
            <charset val="1"/>
          </rPr>
          <t xml:space="preserve">
duplicate data / error
3. ترکیب CustomerID + InvoiceDate
این ترکیب می‌گه: "این مشتری در این تاریخ یک فاکتور داشته است".
پس اگر دوباره دقیقاً همین ترکیب در داده دیده بشه، احتمالاً یک رکورد تکراری هست.
</t>
        </r>
      </text>
    </comment>
    <comment ref="J1" authorId="0" shapeId="0" xr:uid="{C5E7A665-5EA0-4098-AE68-5B921B97C280}">
      <text>
        <r>
          <rPr>
            <b/>
            <sz val="9"/>
            <color indexed="81"/>
            <rFont val="Tahoma"/>
            <charset val="1"/>
          </rPr>
          <t>Reyhaneh Hajili:</t>
        </r>
        <r>
          <rPr>
            <sz val="9"/>
            <color indexed="81"/>
            <rFont val="Tahoma"/>
            <charset val="1"/>
          </rPr>
          <t xml:space="preserve">
inconsistent data / error
btw column A and B.</t>
        </r>
      </text>
    </comment>
    <comment ref="K1" authorId="0" shapeId="0" xr:uid="{CB8A0F16-35E0-4B64-811B-FDA2DF02B5B1}">
      <text>
        <r>
          <rPr>
            <b/>
            <sz val="9"/>
            <color indexed="81"/>
            <rFont val="Tahoma"/>
            <family val="2"/>
          </rPr>
          <t>Reyhaneh Hajili:</t>
        </r>
        <r>
          <rPr>
            <sz val="9"/>
            <color indexed="81"/>
            <rFont val="Tahoma"/>
            <family val="2"/>
          </rPr>
          <t xml:space="preserve">
inconsistent data btw column c and e
inconsistent = paymentdata&lt; invoicedata. 
Yani, pardakht shode bad invoice sader shode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<sst xmlns="http://schemas.openxmlformats.org/spreadsheetml/2006/main" count="656" uniqueCount="178">
  <si>
    <t>CustomerID</t>
  </si>
  <si>
    <t>CustomerName</t>
  </si>
  <si>
    <t>InvoiceDate</t>
  </si>
  <si>
    <t>Amount_IRR</t>
  </si>
  <si>
    <t>PaymentDate</t>
  </si>
  <si>
    <t>C002</t>
  </si>
  <si>
    <t>C004</t>
  </si>
  <si>
    <t>C005</t>
  </si>
  <si>
    <t>C003</t>
  </si>
  <si>
    <t>C001</t>
  </si>
  <si>
    <t>Sara Market</t>
  </si>
  <si>
    <t>Reza Shop</t>
  </si>
  <si>
    <t>Neda Store</t>
  </si>
  <si>
    <t>Ali Supermarket</t>
  </si>
  <si>
    <t>Mahdi Store</t>
  </si>
  <si>
    <t>2025-09-20</t>
  </si>
  <si>
    <t>2025-09-03</t>
  </si>
  <si>
    <t>2025-09-26</t>
  </si>
  <si>
    <t>2025-09-24</t>
  </si>
  <si>
    <t>2025-09-28</t>
  </si>
  <si>
    <t>2025-09-25</t>
  </si>
  <si>
    <t>CheckIDName</t>
  </si>
  <si>
    <t>CheckKey-1</t>
  </si>
  <si>
    <t>CheckKey-2</t>
  </si>
  <si>
    <t>CheckPaymentData</t>
  </si>
  <si>
    <t>Grand Total</t>
  </si>
  <si>
    <t>Sum of Amount_IRR</t>
  </si>
  <si>
    <t>Column Labels</t>
  </si>
  <si>
    <t>OK</t>
  </si>
  <si>
    <t>Notes</t>
  </si>
  <si>
    <t>test</t>
  </si>
  <si>
    <t>N/A</t>
  </si>
  <si>
    <t>Test</t>
  </si>
  <si>
    <t>C999</t>
  </si>
  <si>
    <t>Farhad Mahmodi</t>
  </si>
  <si>
    <t>Report_Date</t>
  </si>
  <si>
    <t>AgingBucket</t>
  </si>
  <si>
    <t>0-30 days</t>
  </si>
  <si>
    <t>31-60 days</t>
  </si>
  <si>
    <t>61-90 days</t>
  </si>
  <si>
    <t>91+ days</t>
  </si>
  <si>
    <t>Acount Receivable Aging Report - As of 2025-12-02</t>
  </si>
  <si>
    <t>Dataset: Cleaned AR DataReport Generated by: Financial Analyst</t>
  </si>
  <si>
    <t>ChangeID</t>
  </si>
  <si>
    <t>Date</t>
  </si>
  <si>
    <t>User</t>
  </si>
  <si>
    <t>Reason for Change</t>
  </si>
  <si>
    <t>Rey</t>
  </si>
  <si>
    <t>Mehdi Store</t>
  </si>
  <si>
    <t>Null</t>
  </si>
  <si>
    <t>Removed training data sample left in production</t>
  </si>
  <si>
    <t>fixed inconsistent date format</t>
  </si>
  <si>
    <t>Fixed invalid data</t>
  </si>
  <si>
    <t>Correct the invoice date from the Master file</t>
  </si>
  <si>
    <t>Correct the customer name from the  Master file</t>
  </si>
  <si>
    <t>Correct the customer name from the Master file</t>
  </si>
  <si>
    <t>Added the missing payment date from the Master file</t>
  </si>
  <si>
    <t>Correct the customer name from Master file</t>
  </si>
  <si>
    <t>Removed the training data sample left in production</t>
  </si>
  <si>
    <t>Removed Fixed the missing link between the Accounts Receivable file and the master file</t>
  </si>
  <si>
    <t>Test Case</t>
  </si>
  <si>
    <t>Formula</t>
  </si>
  <si>
    <t>Expected</t>
  </si>
  <si>
    <t>Result</t>
  </si>
  <si>
    <t>Status</t>
  </si>
  <si>
    <t>Total Amount Match</t>
  </si>
  <si>
    <t>Count of Records</t>
  </si>
  <si>
    <t>Sample DaysOverdue Check</t>
  </si>
  <si>
    <t>Date Format Consistency</t>
  </si>
  <si>
    <t>No Blank CustomerID</t>
  </si>
  <si>
    <t>RowID</t>
  </si>
  <si>
    <t>RowID Missing Check</t>
  </si>
  <si>
    <t>RowID count Match</t>
  </si>
  <si>
    <t>Missing RowID Identifier</t>
  </si>
  <si>
    <t>IF(COUNTBLANK(TableCleaned[RowID])&gt;0, "RowID Missing","OK")</t>
  </si>
  <si>
    <t>IF(COUNTIF(TableCleaned[RowID],'Raw Data_sort'!A2)=0,"Missing", "OK")</t>
  </si>
  <si>
    <t>RowID Sequence Continuity</t>
  </si>
  <si>
    <t>ChangeLog Sync</t>
  </si>
  <si>
    <t>DaysOverDue</t>
  </si>
  <si>
    <t>IF(SUM(TableCleaned[Amount_IRR])=GETPIVOTDATA("Amount_IRR",Aging_Report!$A$2),"OK","Mismatch")</t>
  </si>
  <si>
    <t>Data_Format_Check</t>
  </si>
  <si>
    <t>IF(COUNTIF(TableCleaned[Data_Format_Check],"Inconsistent")=0,"OK","Inconsistent")</t>
  </si>
  <si>
    <t>IF(COUNTBLANK(TableCleaned[CustomerID])=0, "OK","Missing CustomerID")</t>
  </si>
  <si>
    <t>Duplicate  Invoice (CustomerID + Date)</t>
  </si>
  <si>
    <t>Check_InvoiceDate</t>
  </si>
  <si>
    <t>Duplicate_Invoice</t>
  </si>
  <si>
    <t>Amount_Validation</t>
  </si>
  <si>
    <t>Invalid Amount(Range Check)</t>
  </si>
  <si>
    <t>IF(COUNTIF(TableCleaned[Amount_Validation], "OK")=ROWS(TableCleaned[Amount_Validation]), "OK", "Invalid amount Found")</t>
  </si>
  <si>
    <t>IF(COUNTIF(TableCleaned[Duplicate_Invoice],"Duplicate")=0,"OK","Duplicate Fpound")</t>
  </si>
  <si>
    <t>IF(SUM(TableCleaned[DaysOverDue])=SUM(TableCleaned[Check_PaymentDate]),"OK","Mismatch")</t>
  </si>
  <si>
    <t>ChangeLog_Status</t>
  </si>
  <si>
    <t>ChangeNeeded</t>
  </si>
  <si>
    <t>Check_invice</t>
  </si>
  <si>
    <t>IF(COUNTIF(TableCleaned[ChangeLog_Status], "Not Logged")=0, "OK", "Not Synced")</t>
  </si>
  <si>
    <t>Change_Type</t>
  </si>
  <si>
    <t>New_Value</t>
  </si>
  <si>
    <t>Old_Value</t>
  </si>
  <si>
    <t>Field_Changed</t>
  </si>
  <si>
    <t>Archived</t>
  </si>
  <si>
    <t>Removed</t>
  </si>
  <si>
    <t>Outdated_Check</t>
  </si>
  <si>
    <t>IF(MAX(TableCleaned[RowID])-MIN(TableCleaned[RowID])+1=COUNTA(TableCleaned[RowID]),"OK","Gap Fuond")</t>
  </si>
  <si>
    <t>Test_Definitions</t>
  </si>
  <si>
    <t>Category</t>
  </si>
  <si>
    <t>No blank CustomerID values</t>
  </si>
  <si>
    <t>Detects duplicate invoice for same customer/date.</t>
  </si>
  <si>
    <t>Ensure no negative or zero values</t>
  </si>
  <si>
    <t>Verifies Cleaned vs Aging Report totals</t>
  </si>
  <si>
    <t>Check all dates follow yyyy-mm-dd</t>
  </si>
  <si>
    <t>Payment befor Invoice Check</t>
  </si>
  <si>
    <t>Payment should not occur before invoice date</t>
  </si>
  <si>
    <t>No missing data in key column</t>
  </si>
  <si>
    <t>Irrelevant Data Check</t>
  </si>
  <si>
    <t>Ensures all changes are logged</t>
  </si>
  <si>
    <t>All Test Passed Summary</t>
  </si>
  <si>
    <t>Outed Invioce Check (&gt;120)</t>
  </si>
  <si>
    <t>Detects Invoice older than 120 days</t>
  </si>
  <si>
    <t>Financial</t>
  </si>
  <si>
    <t>Data Logic</t>
  </si>
  <si>
    <t>Governance</t>
  </si>
  <si>
    <t>Change Needed vs Logged</t>
  </si>
  <si>
    <t>Data Quality</t>
  </si>
  <si>
    <t>Data Format</t>
  </si>
  <si>
    <t>Data Intergrity</t>
  </si>
  <si>
    <t>Data Completeness</t>
  </si>
  <si>
    <t>Aging</t>
  </si>
  <si>
    <t>IF(ROW(TableCleaned)+ COUNTIFS(TableChangeLog[Change_Type], "Archived"), countifs(TableChangeLog[Change_Type],"Removed") =COUNTA(TableRow), "OK", "Missimg")</t>
  </si>
  <si>
    <t>detects over/logged clean records</t>
  </si>
  <si>
    <t>IF(COUNTIF(TableCleaned[Outdated_Check], "Outdated")=0, "OK", "Outedated Found")</t>
  </si>
  <si>
    <t>Check_ColumnO_&amp;_ColumnP_1</t>
  </si>
  <si>
    <t>Check_ColumnO_&amp;_ColumnP_2</t>
  </si>
  <si>
    <t>IF(AND(TableCleaned[Check_ColumnO_&amp;_ColumnP_1]=0,TableCleaned[Check_ColumnO_&amp;_ColumnP_2]=0),"OK", "Mismatch")</t>
  </si>
  <si>
    <t>Check_PaymentDate_&amp;_ReportDate</t>
  </si>
  <si>
    <t>Correct the payment date from the  Master file</t>
  </si>
  <si>
    <t>IF(Cleaned_Data!F2&lt;Cleaned_Data!D2, "Invalid", "OK")</t>
  </si>
  <si>
    <t>Detects test/(N/A) records</t>
  </si>
  <si>
    <t>IF(SUMPRODUCT(--((TableCleaned[Notes]="Test") + (TableCleaned[Notes]="N/A")))&gt;0, "Irrelevant Found", "OK")</t>
  </si>
  <si>
    <t>compares the totsl number of records in the Raw_Data and Cleaned_Data</t>
  </si>
  <si>
    <t>IF(ROWS(TableRaw[RowID])=ROWS(TableCleaned[RowID]),"OK", "Missing")</t>
  </si>
  <si>
    <t>Check if total rows in table cleaned match with Raw_data</t>
  </si>
  <si>
    <t>Recalculates DayOverDue using ReportData - PaymentDate for a random sample and compares with the stored result</t>
  </si>
  <si>
    <t>Data Accuracy</t>
  </si>
  <si>
    <t>Verifies that all records have a unique RowID assigned and none are missing</t>
  </si>
  <si>
    <t>Structural Integrity</t>
  </si>
  <si>
    <t>Confirms that RowIs follow a sequential numeric order (1,2,3..)</t>
  </si>
  <si>
    <t>Data Continuity</t>
  </si>
  <si>
    <t>Verivied</t>
  </si>
  <si>
    <t>Verified</t>
  </si>
  <si>
    <t>29 Invoices older than 120 days- flagged for review</t>
  </si>
  <si>
    <t>23 Updated records not found in ChangeLog - must be registered manually</t>
  </si>
  <si>
    <t>Record mismatch found - review Cleaning steps for data loss.</t>
  </si>
  <si>
    <t>Mismatch detected - recheck indexing or deleted rows</t>
  </si>
  <si>
    <t>Count</t>
  </si>
  <si>
    <t>Pass</t>
  </si>
  <si>
    <t>Fail</t>
  </si>
  <si>
    <t>Core Validation Summary</t>
  </si>
  <si>
    <t>Structural Validation Summary</t>
  </si>
  <si>
    <t xml:space="preserve">KPI Summary </t>
  </si>
  <si>
    <t>Core Validation Pass Rate</t>
  </si>
  <si>
    <t>Structural Validation Pass Rate</t>
  </si>
  <si>
    <t>Structural Validation Test</t>
  </si>
  <si>
    <t>CoreValidation Test</t>
  </si>
  <si>
    <t>Aging Report Final</t>
  </si>
  <si>
    <t>Account Receivable Aging Report - As of 2025-12-02</t>
  </si>
  <si>
    <t>Overall Validation Pass Rate</t>
  </si>
  <si>
    <t>Module</t>
  </si>
  <si>
    <t xml:space="preserve">Prepared by </t>
  </si>
  <si>
    <t>Version</t>
  </si>
  <si>
    <t xml:space="preserve">Tools Used </t>
  </si>
  <si>
    <t>This Excel workbook is an integral part of the FBA Dynamics 365 Data Quality Report (V2.1).  All data validations, logs, and KPI, are synchronized with the final Word documentation.</t>
  </si>
  <si>
    <t>Accounts Receivable (AR)</t>
  </si>
  <si>
    <t>Reyhaneh Hajili</t>
  </si>
  <si>
    <t>28/09/2025</t>
  </si>
  <si>
    <t>Microsoft Excel, Pivot Table</t>
  </si>
  <si>
    <t>FBA Dynamics 365 - Data Quality Assesment</t>
  </si>
  <si>
    <t>Blank RowIDs found - Assign IDs before validation closes</t>
  </si>
  <si>
    <t>Data change not yet reflected in ERP system - Pending sync.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</si>
</sst>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[$IRR]\ #,##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Segoe UI Emoj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theme="4" tint="0.59999389629810485"/>
      </patternFill>
    </fill>
    <fill>
      <patternFill patternType="solid">
        <fgColor theme="4" tint="-0.249977111117893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2" borderId="0" applyNumberFormat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left" vertical="center"/>
    </xf>
    <xf numFmtId="164" fontId="1" fillId="0" borderId="1" xfId="0" applyNumberFormat="1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/>
    <xf numFmtId="14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164" fontId="0" fillId="0" borderId="0" xfId="0" applyNumberFormat="1" applyFill="1" applyAlignment="1">
      <alignment horizontal="left"/>
    </xf>
    <xf numFmtId="0" fontId="0" fillId="3" borderId="0" xfId="0" applyFill="1"/>
    <xf numFmtId="0" fontId="0" fillId="0" borderId="0" xfId="0" pivotButton="1"/>
    <xf numFmtId="3" fontId="0" fillId="0" borderId="0" xfId="0" applyNumberFormat="1" applyFill="1"/>
    <xf numFmtId="0" fontId="1" fillId="2" borderId="0" xfId="1" applyFont="1"/>
    <xf numFmtId="3" fontId="1" fillId="2" borderId="0" xfId="1" applyNumberFormat="1" applyFont="1"/>
    <xf numFmtId="165" fontId="0" fillId="0" borderId="0" xfId="0" applyNumberFormat="1"/>
    <xf numFmtId="0" fontId="1" fillId="0" borderId="3" xfId="0" applyFont="1" applyFill="1" applyBorder="1" applyAlignment="1">
      <alignment horizontal="left"/>
    </xf>
    <xf numFmtId="14" fontId="1" fillId="0" borderId="3" xfId="0" applyNumberFormat="1" applyFont="1" applyFill="1" applyBorder="1" applyAlignment="1">
      <alignment horizontal="left"/>
    </xf>
    <xf numFmtId="2" fontId="1" fillId="0" borderId="3" xfId="0" applyNumberFormat="1" applyFont="1" applyFill="1" applyBorder="1" applyAlignment="1">
      <alignment horizontal="left"/>
    </xf>
    <xf numFmtId="1" fontId="0" fillId="0" borderId="0" xfId="0" applyNumberFormat="1" applyFill="1" applyAlignment="1">
      <alignment horizontal="left"/>
    </xf>
    <xf numFmtId="165" fontId="1" fillId="0" borderId="3" xfId="0" applyNumberFormat="1" applyFont="1" applyFill="1" applyBorder="1" applyAlignment="1">
      <alignment horizontal="left"/>
    </xf>
    <xf numFmtId="165" fontId="0" fillId="0" borderId="0" xfId="0" applyNumberFormat="1" applyFill="1" applyAlignment="1">
      <alignment horizontal="left"/>
    </xf>
    <xf numFmtId="14" fontId="0" fillId="0" borderId="0" xfId="0" applyNumberFormat="1" applyFont="1" applyFill="1" applyAlignment="1">
      <alignment horizontal="left"/>
    </xf>
    <xf numFmtId="1" fontId="1" fillId="0" borderId="3" xfId="0" applyNumberFormat="1" applyFont="1" applyFill="1" applyBorder="1" applyAlignment="1">
      <alignment horizontal="left"/>
    </xf>
    <xf numFmtId="1" fontId="0" fillId="0" borderId="0" xfId="0" applyNumberFormat="1" applyFont="1" applyFill="1" applyAlignment="1">
      <alignment horizontal="left"/>
    </xf>
    <xf numFmtId="164" fontId="1" fillId="0" borderId="3" xfId="0" applyNumberFormat="1" applyFont="1" applyFill="1" applyBorder="1" applyAlignment="1">
      <alignment horizontal="left"/>
    </xf>
    <xf numFmtId="0" fontId="1" fillId="0" borderId="3" xfId="0" applyFont="1" applyFill="1" applyBorder="1" applyAlignment="1">
      <alignment horizontal="left" vertical="center"/>
    </xf>
    <xf numFmtId="14" fontId="0" fillId="0" borderId="0" xfId="0" applyNumberFormat="1" applyFill="1" applyAlignment="1">
      <alignment horizontal="left" vertical="center"/>
    </xf>
    <xf numFmtId="0" fontId="0" fillId="0" borderId="0" xfId="0" applyFill="1" applyBorder="1"/>
    <xf numFmtId="0" fontId="0" fillId="0" borderId="0" xfId="0" applyFill="1" applyBorder="1" applyAlignment="1">
      <alignment horizontal="left"/>
    </xf>
    <xf numFmtId="14" fontId="0" fillId="0" borderId="0" xfId="0" applyNumberForma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/>
    <xf numFmtId="14" fontId="0" fillId="0" borderId="4" xfId="0" applyNumberFormat="1" applyFill="1" applyBorder="1"/>
    <xf numFmtId="14" fontId="0" fillId="6" borderId="0" xfId="0" applyNumberFormat="1" applyFill="1" applyAlignment="1">
      <alignment horizontal="left"/>
    </xf>
    <xf numFmtId="1" fontId="0" fillId="0" borderId="0" xfId="0" applyNumberFormat="1"/>
    <xf numFmtId="0" fontId="0" fillId="8" borderId="0" xfId="0" applyFont="1" applyFill="1" applyBorder="1"/>
    <xf numFmtId="0" fontId="0" fillId="10" borderId="0" xfId="0" applyFill="1" applyBorder="1"/>
    <xf numFmtId="0" fontId="0" fillId="4" borderId="0" xfId="0" applyFont="1" applyFill="1" applyBorder="1"/>
    <xf numFmtId="0" fontId="0" fillId="7" borderId="0" xfId="0" applyFill="1" applyBorder="1"/>
    <xf numFmtId="0" fontId="0" fillId="5" borderId="0" xfId="0" applyFont="1" applyFill="1" applyBorder="1"/>
    <xf numFmtId="0" fontId="0" fillId="11" borderId="0" xfId="0" applyFill="1" applyBorder="1"/>
    <xf numFmtId="0" fontId="0" fillId="11" borderId="0" xfId="0" applyFill="1" applyBorder="1" applyAlignment="1">
      <alignment wrapText="1"/>
    </xf>
    <xf numFmtId="0" fontId="0" fillId="11" borderId="0" xfId="0" applyFill="1" applyAlignment="1">
      <alignment horizontal="left" vertical="center"/>
    </xf>
    <xf numFmtId="0" fontId="0" fillId="11" borderId="0" xfId="0" applyFill="1"/>
    <xf numFmtId="0" fontId="11" fillId="11" borderId="0" xfId="0" applyFont="1" applyFill="1"/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center" vertical="center"/>
    </xf>
    <xf numFmtId="0" fontId="0" fillId="13" borderId="0" xfId="0" applyFill="1"/>
    <xf numFmtId="0" fontId="1" fillId="11" borderId="0" xfId="0" applyFont="1" applyFill="1"/>
    <xf numFmtId="0" fontId="13" fillId="11" borderId="0" xfId="0" applyFont="1" applyFill="1"/>
    <xf numFmtId="0" fontId="8" fillId="11" borderId="0" xfId="0" applyFont="1" applyFill="1"/>
    <xf numFmtId="0" fontId="8" fillId="11" borderId="0" xfId="0" applyFont="1" applyFill="1" applyAlignment="1">
      <alignment horizontal="center"/>
    </xf>
    <xf numFmtId="0" fontId="0" fillId="11" borderId="0" xfId="0" applyFill="1" applyAlignment="1">
      <alignment horizontal="left"/>
    </xf>
    <xf numFmtId="164" fontId="0" fillId="11" borderId="0" xfId="0" applyNumberFormat="1" applyFill="1" applyAlignment="1">
      <alignment horizontal="left"/>
    </xf>
    <xf numFmtId="165" fontId="0" fillId="11" borderId="0" xfId="0" applyNumberFormat="1" applyFill="1" applyAlignment="1">
      <alignment horizontal="left"/>
    </xf>
    <xf numFmtId="2" fontId="0" fillId="11" borderId="0" xfId="0" applyNumberFormat="1" applyFill="1" applyAlignment="1">
      <alignment horizontal="left"/>
    </xf>
    <xf numFmtId="1" fontId="0" fillId="11" borderId="0" xfId="0" applyNumberFormat="1" applyFill="1" applyAlignment="1">
      <alignment horizontal="left"/>
    </xf>
    <xf numFmtId="14" fontId="0" fillId="11" borderId="0" xfId="0" applyNumberFormat="1" applyFill="1" applyAlignment="1">
      <alignment horizontal="left"/>
    </xf>
    <xf numFmtId="9" fontId="0" fillId="10" borderId="0" xfId="0" applyNumberFormat="1" applyFill="1" applyBorder="1"/>
    <xf numFmtId="9" fontId="0" fillId="7" borderId="0" xfId="0" applyNumberFormat="1" applyFill="1" applyBorder="1"/>
    <xf numFmtId="0" fontId="12" fillId="15" borderId="0" xfId="0" applyFont="1" applyFill="1"/>
    <xf numFmtId="0" fontId="10" fillId="15" borderId="0" xfId="0" applyFont="1" applyFill="1"/>
    <xf numFmtId="0" fontId="10" fillId="15" borderId="0" xfId="0" applyFont="1" applyFill="1" applyAlignment="1">
      <alignment horizontal="center"/>
    </xf>
    <xf numFmtId="0" fontId="14" fillId="14" borderId="0" xfId="0" applyFont="1" applyFill="1" applyAlignment="1">
      <alignment horizontal="center"/>
    </xf>
    <xf numFmtId="0" fontId="9" fillId="11" borderId="0" xfId="0" applyFont="1" applyFill="1" applyAlignment="1">
      <alignment horizontal="left"/>
    </xf>
    <xf numFmtId="0" fontId="8" fillId="2" borderId="0" xfId="1" applyFont="1" applyAlignment="1">
      <alignment horizontal="center"/>
    </xf>
    <xf numFmtId="0" fontId="15" fillId="14" borderId="0" xfId="0" applyFont="1" applyFill="1" applyAlignment="1">
      <alignment horizontal="center"/>
    </xf>
    <xf numFmtId="0" fontId="14" fillId="12" borderId="0" xfId="0" applyFont="1" applyFill="1" applyAlignment="1">
      <alignment horizontal="center" vertical="center"/>
    </xf>
    <xf numFmtId="0" fontId="10" fillId="9" borderId="0" xfId="0" applyFont="1" applyFill="1" applyBorder="1" applyAlignment="1">
      <alignment horizontal="center"/>
    </xf>
    <xf numFmtId="0" fontId="0" fillId="11" borderId="0" xfId="0" applyFill="1" applyBorder="1" applyAlignment="1">
      <alignment horizontal="center" vertical="center" wrapText="1"/>
    </xf>
  </cellXfs>
  <cellStyles count="2">
    <cellStyle name="40% - Accent1" xfId="1" builtinId="31"/>
    <cellStyle name="Normal" xfId="0" builtinId="0"/>
  </cellStyles>
  <dxfs count="133">
    <dxf>
      <border outline="0">
        <top style="thick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3" tint="0.39997558519241921"/>
        </patternFill>
      </fill>
    </dxf>
    <dxf>
      <border outline="0">
        <top style="thick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3" tint="0.39997558519241921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59996337778862885"/>
        </patternFill>
      </fill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color theme="6" tint="-0.499984740745262"/>
      </font>
      <fill>
        <patternFill>
          <bgColor rgb="FF92D050"/>
        </patternFill>
      </fill>
    </dxf>
    <dxf>
      <font>
        <b/>
        <i val="0"/>
        <color theme="5" tint="-0.499984740745262"/>
      </font>
      <fill>
        <patternFill>
          <fgColor rgb="FFFF0000"/>
          <bgColor rgb="FFFF0000"/>
        </patternFill>
      </fill>
    </dxf>
    <dxf>
      <font>
        <b/>
        <i val="0"/>
        <color theme="6" tint="-0.499984740745262"/>
      </font>
      <fill>
        <patternFill>
          <bgColor theme="6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color theme="6" tint="-0.499984740745262"/>
      </font>
      <fill>
        <patternFill>
          <bgColor theme="6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6" tint="-0.499984740745262"/>
      </font>
      <fill>
        <patternFill>
          <bgColor rgb="FF92D050"/>
        </patternFill>
      </fill>
    </dxf>
    <dxf>
      <font>
        <b/>
        <i val="0"/>
        <color theme="5" tint="-0.499984740745262"/>
      </font>
      <fill>
        <patternFill>
          <fgColor rgb="FFFF0000"/>
          <bgColor rgb="FFFD5039"/>
        </patternFill>
      </fill>
    </dxf>
    <dxf>
      <numFmt numFmtId="165" formatCode="[$IRR]\ #,##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19" formatCode="yyyy/mm/dd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19" formatCode="yyyy/mm/dd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19" formatCode="yyyy/mm/dd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yyyy/mm/dd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1" formatCode="0"/>
    </dxf>
    <dxf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" formatCode="0"/>
    </dxf>
    <dxf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9" formatCode="yyyy/mm/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yyyy/mm/dd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9" formatCode="yyyy/mm/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9" formatCode="yyyy/mm/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9" formatCode="yyyy/mm/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yyyy/mm/dd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9" formatCode="yyyy/mm/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64" formatCode="yyyy/mm/dd;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64" formatCode="yyyy/mm/dd;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64" formatCode="yyyy/mm/dd;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64" formatCode="yyyy/mm/dd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65" formatCode="[$IRR]\ 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65" formatCode="[$IRR]\ #,##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64" formatCode="yyyy/mm/dd;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64" formatCode="yyyy/mm/dd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numFmt numFmtId="19" formatCode="yyyy/mm/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yyyy/mm/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9" formatCode="yyyy/mm/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9" formatCode="yyyy/mm/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9" formatCode="yyyy/mm/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9" formatCode="yyyy/mm/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colors>
    <mruColors>
      <color rgb="FFFD50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Core Valodation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'9.Dashboard_FBA_Quality'!$C$2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7CC-4990-A8CC-DE9010C1A6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96-4604-B108-D85C4066F1C8}"/>
              </c:ext>
            </c:extLst>
          </c:dPt>
          <c:cat>
            <c:strRef>
              <c:f>'9.Dashboard_FBA_Quality'!$B$3:$B$4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'9.Dashboard_FBA_Quality'!$C$3:$C$4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C-4990-A8CC-DE9010C1A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Structural Validation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'9.Dashboard_FBA_Quality'!$G$2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74A-472F-B5FC-02650DAA26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62-43BD-8003-CC5D69ADFE25}"/>
              </c:ext>
            </c:extLst>
          </c:dPt>
          <c:cat>
            <c:strRef>
              <c:f>'9.Dashboard_FBA_Quality'!$F$3:$F$4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'9.Dashboard_FBA_Quality'!$G$3:$G$4</c:f>
              <c:numCache>
                <c:formatCode>General</c:formatCode>
                <c:ptCount val="2"/>
                <c:pt idx="0">
                  <c:v>5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A-472F-B5FC-02650DAA2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</xdr:row>
      <xdr:rowOff>19050</xdr:rowOff>
    </xdr:from>
    <xdr:to>
      <xdr:col>3</xdr:col>
      <xdr:colOff>0</xdr:colOff>
      <xdr:row>17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B14ACC-A2AD-458E-AD1F-EA9A416F7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603250</xdr:colOff>
      <xdr:row>5</xdr:row>
      <xdr:rowOff>6350</xdr:rowOff>
    </xdr:from>
    <xdr:to>
      <xdr:col>7</xdr:col>
      <xdr:colOff>0</xdr:colOff>
      <xdr:row>17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F67B1A-16F8-44DD-A1D8-2EAB09CF2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yhaneh Hajili" refreshedDate="45935.873104166669" createdVersion="7" refreshedVersion="7" minRefreshableVersion="3" recordCount="51" xr:uid="{082888AD-B1D7-4163-ABDE-218F3308DB46}">
  <cacheSource type="worksheet">
    <worksheetSource ref="B1:I52" sheet="4.Cleaned_Data"/>
  </cacheSource>
  <cacheFields count="7">
    <cacheField name="CustomerID" numFmtId="0">
      <sharedItems count="5">
        <s v="C001"/>
        <s v="C002"/>
        <s v="C003"/>
        <s v="C004"/>
        <s v="C005"/>
      </sharedItems>
    </cacheField>
    <cacheField name="CustomerName" numFmtId="0">
      <sharedItems/>
    </cacheField>
    <cacheField name="InvoiceDate" numFmtId="0">
      <sharedItems containsDate="1" containsMixedTypes="1" minDate="2025-01-17T00:00:00" maxDate="2025-11-24T00:00:00"/>
    </cacheField>
    <cacheField name="Amount_IRR" numFmtId="165">
      <sharedItems containsSemiMixedTypes="0" containsString="0" containsNumber="1" containsInteger="1" minValue="100000" maxValue="1200000"/>
    </cacheField>
    <cacheField name="PaymentDate" numFmtId="0">
      <sharedItems containsDate="1" containsMixedTypes="1" minDate="2025-06-18T00:00:00" maxDate="2025-12-01T00:00:00"/>
    </cacheField>
    <cacheField name="DAysOverDue" numFmtId="1">
      <sharedItems containsSemiMixedTypes="0" containsString="0" containsNumber="1" containsInteger="1" minValue="2" maxValue="167"/>
    </cacheField>
    <cacheField name="AgingBucket" numFmtId="0">
      <sharedItems count="4">
        <s v="31-60 days"/>
        <s v="91+ days"/>
        <s v="0-30 days"/>
        <s v="61-90 day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s v="Mahdi Store"/>
    <d v="2025-09-08T00:00:00"/>
    <n v="100000"/>
    <d v="2025-10-07T00:00:00"/>
    <n v="56"/>
    <x v="0"/>
  </r>
  <r>
    <x v="0"/>
    <s v="Mahdi Store"/>
    <d v="2025-06-06T00:00:00"/>
    <n v="700000"/>
    <d v="2025-08-29T00:00:00"/>
    <n v="95"/>
    <x v="1"/>
  </r>
  <r>
    <x v="0"/>
    <s v="Mahdi Store"/>
    <d v="2025-08-04T00:00:00"/>
    <n v="1000000"/>
    <d v="2025-11-05T00:00:00"/>
    <n v="27"/>
    <x v="2"/>
  </r>
  <r>
    <x v="0"/>
    <s v="Mahdi Store"/>
    <d v="2025-01-17T00:00:00"/>
    <n v="1200000"/>
    <d v="2025-09-18T00:00:00"/>
    <n v="75"/>
    <x v="3"/>
  </r>
  <r>
    <x v="0"/>
    <s v="Mahdi Store"/>
    <d v="2025-09-15T00:00:00"/>
    <n v="100000"/>
    <d v="2025-09-16T00:00:00"/>
    <n v="77"/>
    <x v="3"/>
  </r>
  <r>
    <x v="0"/>
    <s v="Mahdi Store"/>
    <d v="2025-08-16T00:00:00"/>
    <n v="1200000"/>
    <d v="2025-10-18T00:00:00"/>
    <n v="45"/>
    <x v="0"/>
  </r>
  <r>
    <x v="0"/>
    <s v="Mahdi Store"/>
    <d v="2025-05-05T00:00:00"/>
    <n v="100000"/>
    <d v="2025-11-15T00:00:00"/>
    <n v="17"/>
    <x v="2"/>
  </r>
  <r>
    <x v="0"/>
    <s v="Mahdi Store"/>
    <d v="2025-09-29T00:00:00"/>
    <n v="1000000"/>
    <d v="2025-09-29T00:00:00"/>
    <n v="64"/>
    <x v="3"/>
  </r>
  <r>
    <x v="0"/>
    <s v="Mahdi Store"/>
    <d v="2025-03-27T00:00:00"/>
    <n v="1200000"/>
    <d v="2025-11-27T00:00:00"/>
    <n v="5"/>
    <x v="2"/>
  </r>
  <r>
    <x v="1"/>
    <s v="Sara Market"/>
    <d v="2025-01-20T00:00:00"/>
    <n v="500000"/>
    <d v="2025-10-28T00:00:00"/>
    <n v="35"/>
    <x v="0"/>
  </r>
  <r>
    <x v="1"/>
    <s v="Sara Market"/>
    <s v="2025-09-03"/>
    <n v="100000"/>
    <d v="2025-11-04T00:00:00"/>
    <n v="28"/>
    <x v="2"/>
  </r>
  <r>
    <x v="1"/>
    <s v="Sara Market"/>
    <d v="2025-04-21T00:00:00"/>
    <n v="1200000"/>
    <d v="2025-08-22T00:00:00"/>
    <n v="102"/>
    <x v="1"/>
  </r>
  <r>
    <x v="1"/>
    <s v="Sara Market"/>
    <d v="2025-08-30T00:00:00"/>
    <n v="100000"/>
    <d v="2025-09-30T00:00:00"/>
    <n v="63"/>
    <x v="3"/>
  </r>
  <r>
    <x v="1"/>
    <s v="Sara Market"/>
    <d v="2025-10-07T00:00:00"/>
    <n v="700000"/>
    <s v="2025-09-28"/>
    <n v="65"/>
    <x v="3"/>
  </r>
  <r>
    <x v="1"/>
    <s v="Sara Market"/>
    <d v="2025-11-23T00:00:00"/>
    <n v="1200000"/>
    <d v="2025-11-30T00:00:00"/>
    <n v="2"/>
    <x v="2"/>
  </r>
  <r>
    <x v="1"/>
    <s v="Sara Market"/>
    <d v="2025-06-13T00:00:00"/>
    <n v="120000"/>
    <d v="2025-09-13T00:00:00"/>
    <n v="80"/>
    <x v="3"/>
  </r>
  <r>
    <x v="1"/>
    <s v="Sara Market"/>
    <d v="2025-07-13T00:00:00"/>
    <n v="1200000"/>
    <d v="2025-08-07T00:00:00"/>
    <n v="117"/>
    <x v="1"/>
  </r>
  <r>
    <x v="1"/>
    <s v="Sara Market"/>
    <d v="2025-09-09T00:00:00"/>
    <n v="120000"/>
    <d v="2025-11-13T00:00:00"/>
    <n v="19"/>
    <x v="2"/>
  </r>
  <r>
    <x v="1"/>
    <s v="Sara Market"/>
    <d v="2025-08-22T00:00:00"/>
    <n v="1200000"/>
    <d v="2025-09-22T00:00:00"/>
    <n v="71"/>
    <x v="3"/>
  </r>
  <r>
    <x v="1"/>
    <s v="Sara Market"/>
    <d v="2025-05-09T00:00:00"/>
    <n v="120000"/>
    <d v="2025-11-13T00:00:00"/>
    <n v="19"/>
    <x v="2"/>
  </r>
  <r>
    <x v="2"/>
    <s v="Ali Supermarket"/>
    <d v="2025-06-20T00:00:00"/>
    <n v="500000"/>
    <d v="2025-09-21T00:00:00"/>
    <n v="72"/>
    <x v="3"/>
  </r>
  <r>
    <x v="2"/>
    <s v="Ali Supermarket"/>
    <d v="2025-02-03T00:00:00"/>
    <n v="100000"/>
    <d v="2025-11-12T00:00:00"/>
    <n v="20"/>
    <x v="2"/>
  </r>
  <r>
    <x v="2"/>
    <s v="Ali Supermarket"/>
    <d v="2025-03-02T00:00:00"/>
    <n v="1000000"/>
    <d v="2025-07-03T00:00:00"/>
    <n v="152"/>
    <x v="1"/>
  </r>
  <r>
    <x v="2"/>
    <s v="Ali Supermarket"/>
    <d v="2025-02-09T00:00:00"/>
    <n v="700000"/>
    <d v="2025-06-18T00:00:00"/>
    <n v="167"/>
    <x v="1"/>
  </r>
  <r>
    <x v="2"/>
    <s v="Ali Supermarket"/>
    <d v="2025-05-18T00:00:00"/>
    <n v="100000"/>
    <d v="2025-07-07T00:00:00"/>
    <n v="148"/>
    <x v="1"/>
  </r>
  <r>
    <x v="2"/>
    <s v="Ali Supermarket"/>
    <d v="2025-10-17T00:00:00"/>
    <n v="1000000"/>
    <d v="2025-11-25T00:00:00"/>
    <n v="7"/>
    <x v="2"/>
  </r>
  <r>
    <x v="2"/>
    <s v="Ali Supermarket"/>
    <d v="2025-07-05T00:00:00"/>
    <n v="700000"/>
    <d v="2025-08-05T00:00:00"/>
    <n v="119"/>
    <x v="1"/>
  </r>
  <r>
    <x v="2"/>
    <s v="Ali Supermarket"/>
    <d v="2025-08-13T00:00:00"/>
    <n v="1000000"/>
    <d v="2025-09-14T00:00:00"/>
    <n v="79"/>
    <x v="3"/>
  </r>
  <r>
    <x v="2"/>
    <s v="Ali Supermarket"/>
    <d v="2025-04-23T00:00:00"/>
    <n v="1000000"/>
    <d v="2025-10-25T00:00:00"/>
    <n v="38"/>
    <x v="0"/>
  </r>
  <r>
    <x v="2"/>
    <s v="Ali Supermarket"/>
    <d v="2025-11-04T00:00:00"/>
    <n v="700000"/>
    <d v="2025-11-18T00:00:00"/>
    <n v="14"/>
    <x v="2"/>
  </r>
  <r>
    <x v="2"/>
    <s v="Ali Supermarket"/>
    <d v="2025-01-25T00:00:00"/>
    <n v="1000000"/>
    <d v="2025-09-26T00:00:00"/>
    <n v="67"/>
    <x v="3"/>
  </r>
  <r>
    <x v="2"/>
    <s v="Ali Supermarket"/>
    <d v="2025-03-18T00:00:00"/>
    <n v="1000000"/>
    <s v="2025-09-24"/>
    <n v="69"/>
    <x v="3"/>
  </r>
  <r>
    <x v="2"/>
    <s v="Ali Supermarket"/>
    <d v="2025-04-05T00:00:00"/>
    <n v="700000"/>
    <d v="2025-10-06T00:00:00"/>
    <n v="57"/>
    <x v="0"/>
  </r>
  <r>
    <x v="3"/>
    <s v="Reza Shop"/>
    <d v="2025-09-16T00:00:00"/>
    <n v="1200000"/>
    <d v="2025-10-17T00:00:00"/>
    <n v="46"/>
    <x v="0"/>
  </r>
  <r>
    <x v="3"/>
    <s v="Reza Shop"/>
    <d v="2025-03-24T00:00:00"/>
    <n v="1200000"/>
    <d v="2025-11-25T00:00:00"/>
    <n v="7"/>
    <x v="2"/>
  </r>
  <r>
    <x v="3"/>
    <s v="Reza Shop"/>
    <d v="2025-02-04T00:00:00"/>
    <n v="100000"/>
    <s v="2025-09-26"/>
    <n v="67"/>
    <x v="3"/>
  </r>
  <r>
    <x v="4"/>
    <s v="Neda Store"/>
    <d v="2025-03-16T00:00:00"/>
    <n v="500000"/>
    <d v="2025-08-30T00:00:00"/>
    <n v="94"/>
    <x v="1"/>
  </r>
  <r>
    <x v="4"/>
    <s v="Neda Store"/>
    <d v="2025-04-07T00:00:00"/>
    <n v="100000"/>
    <d v="2025-11-23T00:00:00"/>
    <n v="9"/>
    <x v="2"/>
  </r>
  <r>
    <x v="4"/>
    <s v="Neda Store"/>
    <d v="2025-09-05T00:00:00"/>
    <n v="100000"/>
    <d v="2025-09-05T00:00:00"/>
    <n v="88"/>
    <x v="3"/>
  </r>
  <r>
    <x v="4"/>
    <s v="Neda Store"/>
    <d v="2025-09-06T00:00:00"/>
    <n v="500000"/>
    <d v="2025-09-26T00:00:00"/>
    <n v="67"/>
    <x v="3"/>
  </r>
  <r>
    <x v="4"/>
    <s v="Neda Store"/>
    <s v="2025-09-24"/>
    <n v="500000"/>
    <d v="2025-10-10T00:00:00"/>
    <n v="53"/>
    <x v="0"/>
  </r>
  <r>
    <x v="4"/>
    <s v="Neda Store"/>
    <d v="2025-04-03T00:00:00"/>
    <n v="1000000"/>
    <d v="2025-10-03T00:00:00"/>
    <n v="60"/>
    <x v="0"/>
  </r>
  <r>
    <x v="4"/>
    <s v="Neda Store"/>
    <d v="2025-08-11T00:00:00"/>
    <n v="1200000"/>
    <d v="2025-08-21T00:00:00"/>
    <n v="103"/>
    <x v="1"/>
  </r>
  <r>
    <x v="4"/>
    <s v="Neda Store"/>
    <d v="2025-02-25T00:00:00"/>
    <n v="500000"/>
    <d v="2025-10-26T00:00:00"/>
    <n v="37"/>
    <x v="0"/>
  </r>
  <r>
    <x v="4"/>
    <s v="Neda Store"/>
    <d v="2025-09-23T00:00:00"/>
    <n v="700000"/>
    <d v="2025-11-22T00:00:00"/>
    <n v="10"/>
    <x v="2"/>
  </r>
  <r>
    <x v="4"/>
    <s v="Neda Store"/>
    <d v="2025-10-28T00:00:00"/>
    <n v="1000000"/>
    <d v="2025-11-28T00:00:00"/>
    <n v="4"/>
    <x v="2"/>
  </r>
  <r>
    <x v="4"/>
    <s v="Neda Store"/>
    <d v="2025-08-13T00:00:00"/>
    <n v="1200000"/>
    <d v="2025-10-20T00:00:00"/>
    <n v="43"/>
    <x v="0"/>
  </r>
  <r>
    <x v="4"/>
    <s v="Neda Store"/>
    <d v="2025-03-24T00:00:00"/>
    <n v="500000"/>
    <d v="2025-09-25T00:00:00"/>
    <n v="68"/>
    <x v="3"/>
  </r>
  <r>
    <x v="4"/>
    <s v="Neda Store"/>
    <d v="2025-07-24T00:00:00"/>
    <n v="500000"/>
    <d v="2025-10-24T00:00:00"/>
    <n v="39"/>
    <x v="0"/>
  </r>
  <r>
    <x v="4"/>
    <s v="Neda Store"/>
    <d v="2025-07-02T00:00:00"/>
    <n v="1000000"/>
    <d v="2025-11-27T00:00:00"/>
    <n v="5"/>
    <x v="2"/>
  </r>
  <r>
    <x v="4"/>
    <s v="Neda Store"/>
    <d v="2025-06-13T00:00:00"/>
    <n v="1200000"/>
    <s v="2025-09-20"/>
    <n v="7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91269-C4CC-4B62-9B85-E3EEF1F2EEE4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ustomerID">
  <location ref="B3:G10" firstHeaderRow="1" firstDataRow="2" firstDataCol="1"/>
  <pivotFields count="7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numFmtId="1" showAll="0"/>
    <pivotField axis="axisCol" showAll="0">
      <items count="5">
        <item x="2"/>
        <item x="0"/>
        <item x="3"/>
        <item x="1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_IRR" fld="3" baseField="0" baseItem="0" numFmtId="165"/>
  </dataFields>
  <formats count="1"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B75F13E-B8F2-438E-812D-3C26DA06E9B9}" name="Table6" displayName="Table6" ref="A1:I52" totalsRowShown="0" headerRowDxfId="126" dataDxfId="125">
  <autoFilter ref="A1:I52" xr:uid="{3B75F13E-B8F2-438E-812D-3C26DA06E9B9}"/>
  <tableColumns count="9">
    <tableColumn id="1" xr3:uid="{D6486720-C243-46D9-ADD8-35C67853C0BA}" name="CustomerID" dataDxfId="124"/>
    <tableColumn id="2" xr3:uid="{BC95E7E5-DB7F-4D55-A654-D3896590FE93}" name="CustomerName" dataDxfId="123"/>
    <tableColumn id="3" xr3:uid="{774FE142-4DFF-4462-8547-2F013AB66647}" name="InvoiceDate" dataDxfId="122"/>
    <tableColumn id="4" xr3:uid="{A03FECE2-641A-422F-9214-3B21F95E2B15}" name="Amount_IRR" dataDxfId="121"/>
    <tableColumn id="5" xr3:uid="{808B00C5-88C2-42BB-92FE-0E3C88C05F61}" name="PaymentDate" dataDxfId="120"/>
    <tableColumn id="6" xr3:uid="{76F1E1A1-320B-43EA-8B92-6DB5CC627017}" name="CheckKey-1" dataDxfId="119">
      <calculatedColumnFormula>$A2&amp;"-"&amp;TEXT( $C2,"yyyy-mm-dd")</calculatedColumnFormula>
    </tableColumn>
    <tableColumn id="7" xr3:uid="{17860C22-9B3E-49C3-9FC3-9D60272004BF}" name="CheckKey-2" dataDxfId="118">
      <calculatedColumnFormula>IF(COUNTIF($F$2:$F$42,F2)&gt;1, "Duplicate", "Ok")</calculatedColumnFormula>
    </tableColumn>
    <tableColumn id="8" xr3:uid="{69212CC5-5D3E-4DB2-A1D1-EC53A0110950}" name="CheckIDName" dataDxfId="117">
      <calculatedColumnFormula>IF(B2 =VLOOKUP($A2,$A$2:$B$42,2,FALSE), "OK", "Mismatch")</calculatedColumnFormula>
    </tableColumn>
    <tableColumn id="9" xr3:uid="{BDA5E5F3-49F2-402C-BD58-1071F8BEFF7F}" name="CheckPaymentData" dataDxfId="116">
      <calculatedColumnFormula>IF(C2&gt;E2, "Inconsistent", "OK")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E00CC6-00C9-4BDB-9002-EB3581494812}" name="TableRaw" displayName="TableRaw" ref="A1:K53" totalsRowShown="0" headerRowDxfId="108" dataDxfId="107">
  <autoFilter ref="A1:K53" xr:uid="{9CE00CC6-00C9-4BDB-9002-EB3581494812}"/>
  <tableColumns count="11">
    <tableColumn id="11" xr3:uid="{8B8E2F84-A589-4613-BC63-4277A38C3D10}" name="RowID" dataDxfId="106">
      <calculatedColumnFormula>ROW()-1</calculatedColumnFormula>
    </tableColumn>
    <tableColumn id="12" xr3:uid="{2FF7419B-0514-424E-84AC-9DA5C35E4ED3}" name="CustomerID" dataDxfId="105"/>
    <tableColumn id="1" xr3:uid="{E0CA4892-3D40-4493-AE69-798F4D1F6093}" name="CustomerName" dataDxfId="104"/>
    <tableColumn id="2" xr3:uid="{4ECB8B91-C0DB-4393-9897-CA33868062E1}" name="InvoiceDate" dataDxfId="103"/>
    <tableColumn id="3" xr3:uid="{36801DB1-970D-4F35-BDD6-01E8B2E32773}" name="Amount_IRR" dataDxfId="102"/>
    <tableColumn id="4" xr3:uid="{93355FC8-06A3-40DF-93BA-2E5667CA037D}" name="PaymentDate" dataDxfId="101"/>
    <tableColumn id="5" xr3:uid="{5ABD4250-9BBD-4B05-8D67-090B4DC5C186}" name="Notes" dataDxfId="100"/>
    <tableColumn id="6" xr3:uid="{38239CC0-900E-4BDF-A02D-FDBD4FCB4027}" name="CheckKey-1" dataDxfId="99">
      <calculatedColumnFormula>$B2&amp;"-"&amp;TEXT( $D2,"yyyy-mm-dd")</calculatedColumnFormula>
    </tableColumn>
    <tableColumn id="7" xr3:uid="{3332F2A3-B1B7-416D-B89A-D1B131C2CD68}" name="Check_invice" dataDxfId="98"/>
    <tableColumn id="8" xr3:uid="{E70E8DD3-20F1-4FDD-AC30-CB82EBA3A1D8}" name="CheckIDName" dataDxfId="97"/>
    <tableColumn id="9" xr3:uid="{9A1AC9D6-E2E1-4450-98ED-D66903B392C3}" name="CheckPaymentData" dataDxfId="96">
      <calculatedColumnFormula>IF(D2&gt;F2, "Inconsistent", "OK")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6D885A-D8C8-40BF-9813-19E3CE539D9B}" name="TableCleaned" displayName="TableCleaned" ref="A1:S53" totalsRowCount="1" headerRowDxfId="89" dataDxfId="87" headerRowBorderDxfId="88" tableBorderDxfId="86">
  <autoFilter ref="A1:S52" xr:uid="{EE6D885A-D8C8-40BF-9813-19E3CE539D9B}"/>
  <tableColumns count="19">
    <tableColumn id="8" xr3:uid="{107A361F-275F-48B1-8038-5CDB9B64B308}" name="RowID" dataDxfId="85" totalsRowDxfId="84">
      <calculatedColumnFormula>ROW()-1</calculatedColumnFormula>
    </tableColumn>
    <tableColumn id="1" xr3:uid="{D93403C4-5F3C-4A7E-A29C-FE453CE86E5D}" name="CustomerID" dataDxfId="83" totalsRowDxfId="82"/>
    <tableColumn id="2" xr3:uid="{FA8026DC-510A-48E4-A0B2-9F9E895C8833}" name="CustomerName" dataDxfId="81" totalsRowDxfId="80"/>
    <tableColumn id="3" xr3:uid="{6791D517-3D1D-4934-8C27-3D2A124BD7CF}" name="InvoiceDate" dataDxfId="79" totalsRowDxfId="78"/>
    <tableColumn id="4" xr3:uid="{2667EF73-8693-4E04-8655-13AF32AD6092}" name="Amount_IRR" totalsRowFunction="sum" dataDxfId="77" totalsRowDxfId="76"/>
    <tableColumn id="5" xr3:uid="{13C75880-164D-46BC-8E1A-3DDF059FF003}" name="PaymentDate" dataDxfId="75" totalsRowDxfId="74"/>
    <tableColumn id="22" xr3:uid="{5310FA0A-73F7-47CA-80C7-1B1A5301B3E5}" name="Notes" dataDxfId="73" totalsRowDxfId="72"/>
    <tableColumn id="6" xr3:uid="{F453C949-10A4-4183-82F5-810C70E407FD}" name="DaysOverDue" dataDxfId="71" totalsRowDxfId="70">
      <calculatedColumnFormula>'5.Report_Info'!$A$2-'4.Cleaned_Data'!$F2</calculatedColumnFormula>
    </tableColumn>
    <tableColumn id="7" xr3:uid="{A094E5F9-4A68-4CCF-95A3-56F120FB37D2}" name="AgingBucket" totalsRowFunction="count" dataDxfId="69" totalsRowDxfId="68">
      <calculatedColumnFormula>IF($H2&lt;=30,"0-30 days",IF($H2&lt;=60,"31-60 days", IF($H2&lt;=90, "61-90 days", "91+ days")))</calculatedColumnFormula>
    </tableColumn>
    <tableColumn id="9" xr3:uid="{F0BB5A78-D174-4EBE-93E9-1129A3B41071}" name="Check_PaymentDate_&amp;_ReportDate" dataDxfId="67" totalsRowDxfId="66">
      <calculatedColumnFormula array="1">TableReport[Report_Date]-TableCleaned[[#This Row],[PaymentDate]]</calculatedColumnFormula>
    </tableColumn>
    <tableColumn id="11" xr3:uid="{05FDDAE8-CB8B-4326-95CE-FB392E822E8A}" name="Data_Format_Check" dataDxfId="65">
      <calculatedColumnFormula>IF(AND(ISNUMBER(TableCleaned[[#This Row],[InvoiceDate]]),ISNUMBER(TableCleaned[[#This Row],[PaymentDate]])),"OK","Inconsistent")</calculatedColumnFormula>
    </tableColumn>
    <tableColumn id="18" xr3:uid="{B7687DC3-48EE-4648-BC43-9DFC3EBDD0B8}" name="Outdated_Check" dataDxfId="64">
      <calculatedColumnFormula array="1">IF(ISNUMBER(TableCleaned[[#This Row],[InvoiceDate]]),IF(TableCleaned[[#This Row],[InvoiceDate]]&lt;(TableReport[Report_Date]-120),"Outdated","OK"),"Missing Date")</calculatedColumnFormula>
    </tableColumn>
    <tableColumn id="13" xr3:uid="{9BB9E487-0756-483B-B110-8526B4D947B6}" name="Check_InvoiceDate" dataDxfId="63">
      <calculatedColumnFormula>TableCleaned[[#This Row],[CustomerID]]&amp; " - " &amp; TEXT(TableCleaned[[#This Row],[PaymentDate]],"yyy-mm-dd")</calculatedColumnFormula>
    </tableColumn>
    <tableColumn id="14" xr3:uid="{58F7E4AB-F245-41DC-B072-5377001D1402}" name="Duplicate_Invoice" dataDxfId="62">
      <calculatedColumnFormula>IF(COUNTIF(TableCleaned[Check_InvoiceDate],TableCleaned[[#This Row],[Check_InvoiceDate]])&gt;1, "Duplicate", "OK")</calculatedColumnFormula>
    </tableColumn>
    <tableColumn id="15" xr3:uid="{8B423F8B-57EF-459B-B11B-906A73151522}" name="Amount_Validation" dataDxfId="61">
      <calculatedColumnFormula>IF(OR(ISBLANK(TableCleaned[[#This Row],[Amount_IRR]]),TableCleaned[[#This Row],[Amount_IRR]]&lt;=0), "Invalid(Missing/Negative)", IF(TableCleaned[[#This Row],[Amount_IRR]]&gt;2000000, "Invalid (Too Hiigh)", "OK"))</calculatedColumnFormula>
    </tableColumn>
    <tableColumn id="17" xr3:uid="{EB7D3DD1-1D49-41CD-8C52-E3C647E865E9}" name="ChangeNeeded" dataDxfId="60">
      <calculatedColumnFormula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calculatedColumnFormula>
    </tableColumn>
    <tableColumn id="16" xr3:uid="{2DFFC9E1-FACE-40F2-962C-7F7DB43F8D72}" name="ChangeLog_Status" dataDxfId="59">
      <calculatedColumnFormula>IF(TableCleaned[[#This Row],[ChangeNeeded]]="No Change", "No Change Needed",IF(COUNTIF(TableChangeLog[RowID],TableCleaned[[#This Row],[RowID]])&gt;0, "Logged", "Not Logged"))</calculatedColumnFormula>
    </tableColumn>
    <tableColumn id="19" xr3:uid="{3F9C019B-1780-4471-B9EF-081873656B37}" name="Check_ColumnO_&amp;_ColumnP_1" dataDxfId="58" totalsRowDxfId="57">
      <calculatedColumnFormula>COUNTIFS(TableCleaned[[#This Row],[ChangeNeeded]],"Changed",TableCleaned[[#This Row],[ChangeLog_Status]], "Not Logged")</calculatedColumnFormula>
    </tableColumn>
    <tableColumn id="20" xr3:uid="{D5DF72FE-CEB3-496B-A4AF-786C407094AE}" name="Check_ColumnO_&amp;_ColumnP_2" dataDxfId="56" totalsRowDxfId="55">
      <calculatedColumnFormula>COUNTIFS(TableCleaned[[#This Row],[ChangeNeeded]],"No Changed",TableCleaned[[#This Row],[ChangeLog_Status]], "Logged")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A12EE4-8B95-4EFA-8CCA-9CE21F2B0C56}" name="TableReport" displayName="TableReport" ref="A1:A2" totalsRowShown="0" headerRowDxfId="54" dataDxfId="52" headerRowBorderDxfId="53" tableBorderDxfId="51" totalsRowBorderDxfId="50">
  <autoFilter ref="A1:A2" xr:uid="{7CA12EE4-8B95-4EFA-8CCA-9CE21F2B0C56}"/>
  <tableColumns count="1">
    <tableColumn id="1" xr3:uid="{63473D95-FCF9-4DDB-A9FC-D41CAE0B679B}" name="Report_Date" dataDxfId="4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8674A6-E1FA-484D-A1EB-F1E792FC28CC}" name="TableChangeLog" displayName="TableChangeLog" ref="A1:J19" totalsRowShown="0" headerRowDxfId="48" dataDxfId="46" headerRowBorderDxfId="47" tableBorderDxfId="45">
  <autoFilter ref="A1:J19" xr:uid="{728674A6-E1FA-484D-A1EB-F1E792FC28CC}"/>
  <tableColumns count="10">
    <tableColumn id="1" xr3:uid="{59EC0B47-B856-4F11-93FE-86A7CECD471D}" name="ChangeID" dataDxfId="44"/>
    <tableColumn id="2" xr3:uid="{00F95515-AC23-4D8D-8FEC-4C0BEBBAD032}" name="RowID" dataDxfId="43"/>
    <tableColumn id="3" xr3:uid="{B3A64882-A7F2-4818-B1B1-0FC7D7BC95EE}" name="CustomerID" dataDxfId="42"/>
    <tableColumn id="4" xr3:uid="{F3DD48EC-DB2D-4D7A-8ED4-36C089E64CE3}" name="Date" dataDxfId="41"/>
    <tableColumn id="5" xr3:uid="{C9F4ED3A-B1E3-4222-9E93-0445772EC38B}" name="User" dataDxfId="40"/>
    <tableColumn id="6" xr3:uid="{36E704F3-D6E7-496B-8FCE-869CF94C114E}" name="Field_Changed" dataDxfId="39"/>
    <tableColumn id="7" xr3:uid="{1FC5C610-27C9-47A7-B19D-6B861D4B3C25}" name="Old_Value" dataDxfId="38"/>
    <tableColumn id="8" xr3:uid="{5B31659E-7E95-4304-87C2-5A19A211FA9C}" name="New_Value" dataDxfId="37"/>
    <tableColumn id="10" xr3:uid="{D01EA9A9-8455-4395-826A-B5242869C829}" name="Change_Type" dataDxfId="36"/>
    <tableColumn id="9" xr3:uid="{3794C941-789C-4621-81E7-C33228FA803B}" name="Reason for Change" dataDxfId="3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5E98E9-8B75-49B2-AB74-0F3CBDE1EBB5}" name="TableCoreValidation" displayName="TableCoreValidation" ref="B3:I10" totalsRowShown="0" headerRowDxfId="29" dataDxfId="28">
  <autoFilter ref="B3:I10" xr:uid="{385E98E9-8B75-49B2-AB74-0F3CBDE1EBB5}"/>
  <tableColumns count="8">
    <tableColumn id="1" xr3:uid="{B91659A2-FF04-49FB-95E9-CB1908F5EF96}" name="Test Case" dataDxfId="27"/>
    <tableColumn id="6" xr3:uid="{46B86F51-55A2-4DA0-8225-8F2AE973FA0C}" name="Test_Definitions" dataDxfId="26"/>
    <tableColumn id="7" xr3:uid="{1938BD78-0A36-4B21-B0CB-1021DC963279}" name="Category" dataDxfId="25"/>
    <tableColumn id="2" xr3:uid="{9D3D2EF5-9659-4BA2-9BA4-2CF334CFFCED}" name="Formula" dataDxfId="24"/>
    <tableColumn id="3" xr3:uid="{A4E7A8F0-7906-4AA5-A886-6CD29BAB4259}" name="Expected" dataDxfId="23"/>
    <tableColumn id="4" xr3:uid="{F030070D-45D6-4D51-91A2-A6D641B3CDC1}" name="Result" dataDxfId="22"/>
    <tableColumn id="5" xr3:uid="{D7299D4A-52C0-415E-B3D8-162D192B27C4}" name="Status" dataDxfId="21">
      <calculatedColumnFormula>IF(TableCoreValidation[[#This Row],[Result]]=TableCoreValidation[[#This Row],[Expected]], "Pass", "Fail")</calculatedColumnFormula>
    </tableColumn>
    <tableColumn id="8" xr3:uid="{D510BB71-1A01-4F29-B417-F9B364675CD7}" name="Notes" dataDxfId="20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2FAFFDE-DFA9-4F61-9A7D-F3096CB1F6AE}" name="TableStruc.Validation" displayName="TableStruc.Validation" ref="B3:I12" totalsRowShown="0" headerRowDxfId="15" dataDxfId="14">
  <autoFilter ref="B3:I12" xr:uid="{82FAFFDE-DFA9-4F61-9A7D-F3096CB1F6AE}"/>
  <tableColumns count="8">
    <tableColumn id="1" xr3:uid="{68855785-CFE5-40FE-8688-5B7E0F1B539F}" name="Test Case" dataDxfId="13"/>
    <tableColumn id="2" xr3:uid="{FCDB7E78-EBBB-4CE2-B2AD-522CA20E56E8}" name="Test_Definitions" dataDxfId="12"/>
    <tableColumn id="3" xr3:uid="{E83645D3-7F4D-45B6-A60C-F83130FF2EDF}" name="Category" dataDxfId="11"/>
    <tableColumn id="4" xr3:uid="{9052E921-DC07-4725-94A8-0C2CB23261FB}" name="Formula" dataDxfId="10"/>
    <tableColumn id="5" xr3:uid="{E47CB8A7-2FD3-436A-A733-B870B15AA6CC}" name="Expected" dataDxfId="9"/>
    <tableColumn id="6" xr3:uid="{44E9A432-4169-4479-AE3B-5DA06E9AD5C0}" name="Result" dataDxfId="8"/>
    <tableColumn id="7" xr3:uid="{206FF09D-7617-4442-9456-FF52BB88D830}" name="Status" dataDxfId="7">
      <calculatedColumnFormula>IF(TableStruc.Validation[[#This Row],[Result]]=TableStruc.Validation[[#This Row],[Expected]], "Pass", "Fail")</calculatedColumnFormula>
    </tableColumn>
    <tableColumn id="8" xr3:uid="{A791DB97-BD45-454F-B9B2-B6560B5BF381}" name="Notes" dataDxfId="6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13C2183-327D-4F91-9DCB-04860D6E1F48}" name="Table11" displayName="Table11" ref="B2:C4" totalsRowShown="0" headerRowDxfId="3" tableBorderDxfId="2">
  <autoFilter ref="B2:C4" xr:uid="{B13C2183-327D-4F91-9DCB-04860D6E1F48}"/>
  <tableColumns count="2">
    <tableColumn id="1" xr3:uid="{B0F4DDBE-5709-4A28-A888-21145382F609}" name="Status"/>
    <tableColumn id="2" xr3:uid="{979AACEF-8D7F-4136-A861-52CB6574F43D}" name="Cou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E802E81-DC08-4AAB-827B-3C5291F6F78C}" name="Struc.Valid.Suammary" displayName="Struc.Valid.Suammary" ref="F2:G4" totalsRowShown="0" headerRowDxfId="1" tableBorderDxfId="0">
  <autoFilter ref="F2:G4" xr:uid="{2E802E81-DC08-4AAB-827B-3C5291F6F78C}"/>
  <tableColumns count="2">
    <tableColumn id="1" xr3:uid="{71E1092E-6960-41D7-93DA-319B21B853E9}" name="Status"/>
    <tableColumn id="2" xr3:uid="{5E26AC93-A226-480C-95CD-7E5D26424171}" name="Count">
      <calculatedColumnFormula>COUNTIF(TableStruc.Validation[Status], "Fail")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AF14-1342-496A-9041-C332B1910716}">
  <dimension ref="B1:P13"/>
  <sheetViews>
    <sheetView workbookViewId="0"/>
  </sheetViews>
  <sheetFormatPr defaultRowHeight="14.5" x14ac:dyDescent="0.35"/>
  <cols>
    <col min="1" max="1" width="2.08984375" style="46" customWidth="1"/>
    <col min="2" max="2" width="19.36328125" style="46" customWidth="1"/>
    <col min="3" max="16384" width="8.7265625" style="46"/>
  </cols>
  <sheetData>
    <row r="1" spans="2:16" s="63" customFormat="1" x14ac:dyDescent="0.35">
      <c r="B1" s="65" t="s">
        <v>175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</row>
    <row r="3" spans="2:16" x14ac:dyDescent="0.35">
      <c r="B3" s="64" t="s">
        <v>166</v>
      </c>
      <c r="C3" s="46" t="s">
        <v>171</v>
      </c>
    </row>
    <row r="5" spans="2:16" x14ac:dyDescent="0.35">
      <c r="B5" s="64" t="s">
        <v>167</v>
      </c>
      <c r="C5" s="46" t="s">
        <v>172</v>
      </c>
    </row>
    <row r="7" spans="2:16" x14ac:dyDescent="0.35">
      <c r="B7" s="64" t="s">
        <v>44</v>
      </c>
      <c r="C7" s="46" t="s">
        <v>173</v>
      </c>
    </row>
    <row r="9" spans="2:16" x14ac:dyDescent="0.35">
      <c r="B9" s="64" t="s">
        <v>168</v>
      </c>
      <c r="C9" s="46">
        <v>2.1</v>
      </c>
    </row>
    <row r="11" spans="2:16" x14ac:dyDescent="0.35">
      <c r="B11" s="64" t="s">
        <v>169</v>
      </c>
      <c r="C11" s="46" t="s">
        <v>174</v>
      </c>
    </row>
    <row r="13" spans="2:16" x14ac:dyDescent="0.35">
      <c r="B13" s="46" t="s">
        <v>170</v>
      </c>
    </row>
  </sheetData>
  <mergeCells count="1">
    <mergeCell ref="B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zoomScale="80" zoomScaleNormal="80" workbookViewId="0">
      <pane ySplit="1" topLeftCell="A2" activePane="bottomLeft" state="frozen"/>
      <selection activeCell="E1" sqref="E1"/>
      <selection pane="bottomLeft"/>
    </sheetView>
  </sheetViews>
  <sheetFormatPr defaultRowHeight="14.5" x14ac:dyDescent="0.35"/>
  <cols>
    <col min="1" max="1" width="15.36328125" style="55" bestFit="1" customWidth="1"/>
    <col min="2" max="2" width="18.54296875" style="55" bestFit="1" customWidth="1"/>
    <col min="3" max="3" width="13" style="56" bestFit="1" customWidth="1"/>
    <col min="4" max="4" width="15.90625" style="45" bestFit="1" customWidth="1"/>
    <col min="5" max="5" width="14.54296875" style="55" bestFit="1" customWidth="1"/>
    <col min="6" max="6" width="14.90625" style="45" bestFit="1" customWidth="1"/>
    <col min="7" max="7" width="15" style="55" bestFit="1" customWidth="1"/>
    <col min="8" max="8" width="17.08984375" style="55" bestFit="1" customWidth="1"/>
    <col min="9" max="9" width="19.7265625" style="55" bestFit="1" customWidth="1"/>
    <col min="10" max="16384" width="8.7265625" style="55"/>
  </cols>
  <sheetData>
    <row r="1" spans="1:9" s="45" customFormat="1" x14ac:dyDescent="0.3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22</v>
      </c>
      <c r="G1" s="4" t="s">
        <v>23</v>
      </c>
      <c r="H1" s="4" t="s">
        <v>21</v>
      </c>
      <c r="I1" s="4" t="s">
        <v>24</v>
      </c>
    </row>
    <row r="2" spans="1:9" x14ac:dyDescent="0.35">
      <c r="A2" s="8" t="s">
        <v>5</v>
      </c>
      <c r="B2" s="8" t="s">
        <v>10</v>
      </c>
      <c r="C2" s="7">
        <v>45677</v>
      </c>
      <c r="D2" s="8">
        <v>500000</v>
      </c>
      <c r="E2" s="7">
        <v>45958</v>
      </c>
      <c r="F2" s="8" t="str">
        <f t="shared" ref="F2:F52" si="0">$A2&amp;"-"&amp;TEXT( $C2,"yyyy-mm-dd")</f>
        <v>C002-2025-01-20</v>
      </c>
      <c r="G2" s="8" t="str">
        <f>IF(COUNTIF($F$2:$F$42,F2)&gt;1, "Duplicate", "Ok")</f>
        <v>Ok</v>
      </c>
      <c r="H2" s="8" t="str">
        <f>IF(B2 =VLOOKUP($A2,$A$2:$B$42,2,FALSE), "OK", "Mismatch")</f>
        <v>OK</v>
      </c>
      <c r="I2" s="8" t="str">
        <f>IF(C2&gt;E2, "Inconsistent", "OK")</f>
        <v>OK</v>
      </c>
    </row>
    <row r="3" spans="1:9" x14ac:dyDescent="0.35">
      <c r="A3" s="8" t="s">
        <v>5</v>
      </c>
      <c r="B3" s="8" t="s">
        <v>10</v>
      </c>
      <c r="C3" s="7" t="s">
        <v>16</v>
      </c>
      <c r="D3" s="8">
        <v>100000</v>
      </c>
      <c r="E3" s="7">
        <v>45904</v>
      </c>
      <c r="F3" s="8" t="str">
        <f t="shared" si="0"/>
        <v>C002-2025-09-03</v>
      </c>
      <c r="G3" s="8" t="str">
        <f t="shared" ref="G3:G42" si="1">IF(COUNTIF($F$2:$F$42,F3)&gt;1, "Duplicate", "Ok")</f>
        <v>Ok</v>
      </c>
      <c r="H3" s="8" t="str">
        <f t="shared" ref="H3:H42" si="2">IF(B3 =VLOOKUP($A3,$A$2:$B$42,2,FALSE), "OK", "Mismatch")</f>
        <v>OK</v>
      </c>
      <c r="I3" s="8" t="str">
        <f t="shared" ref="I3:I41" si="3">IF(C3&gt;E3, "Inconsistent", "OK")</f>
        <v>Inconsistent</v>
      </c>
    </row>
    <row r="4" spans="1:9" x14ac:dyDescent="0.35">
      <c r="A4" s="8" t="s">
        <v>5</v>
      </c>
      <c r="B4" s="8" t="s">
        <v>11</v>
      </c>
      <c r="C4" s="7">
        <v>45768</v>
      </c>
      <c r="D4" s="8">
        <v>1200000</v>
      </c>
      <c r="E4" s="7">
        <v>45891</v>
      </c>
      <c r="F4" s="8" t="str">
        <f t="shared" si="0"/>
        <v>C002-2025-04-21</v>
      </c>
      <c r="G4" s="8" t="str">
        <f t="shared" si="1"/>
        <v>Ok</v>
      </c>
      <c r="H4" s="8" t="str">
        <f>IF(B4 =VLOOKUP($A4,$A$2:$B$42,2,FALSE), "OK", "Mismatch")</f>
        <v>Mismatch</v>
      </c>
      <c r="I4" s="8" t="str">
        <f>IF(C4&gt;E4, "Inconsistent", "OK")</f>
        <v>OK</v>
      </c>
    </row>
    <row r="5" spans="1:9" x14ac:dyDescent="0.35">
      <c r="A5" s="8" t="s">
        <v>6</v>
      </c>
      <c r="B5" s="8" t="s">
        <v>11</v>
      </c>
      <c r="C5" s="7">
        <v>45916</v>
      </c>
      <c r="D5" s="8">
        <v>1200000</v>
      </c>
      <c r="E5" s="7">
        <v>45947</v>
      </c>
      <c r="F5" s="8" t="str">
        <f t="shared" si="0"/>
        <v>C004-2025-09-16</v>
      </c>
      <c r="G5" s="8" t="str">
        <f t="shared" si="1"/>
        <v>Ok</v>
      </c>
      <c r="H5" s="8" t="str">
        <f t="shared" si="2"/>
        <v>OK</v>
      </c>
      <c r="I5" s="8" t="str">
        <f t="shared" si="3"/>
        <v>OK</v>
      </c>
    </row>
    <row r="6" spans="1:9" x14ac:dyDescent="0.35">
      <c r="A6" s="8" t="s">
        <v>6</v>
      </c>
      <c r="B6" s="8" t="s">
        <v>11</v>
      </c>
      <c r="C6" s="7">
        <v>45740</v>
      </c>
      <c r="D6" s="8">
        <v>1200000</v>
      </c>
      <c r="E6" s="7">
        <v>45986</v>
      </c>
      <c r="F6" s="8" t="str">
        <f t="shared" si="0"/>
        <v>C004-2025-03-24</v>
      </c>
      <c r="G6" s="8" t="str">
        <f t="shared" si="1"/>
        <v>Ok</v>
      </c>
      <c r="H6" s="8" t="str">
        <f t="shared" si="2"/>
        <v>OK</v>
      </c>
      <c r="I6" s="8" t="str">
        <f t="shared" si="3"/>
        <v>OK</v>
      </c>
    </row>
    <row r="7" spans="1:9" x14ac:dyDescent="0.35">
      <c r="A7" s="8" t="s">
        <v>7</v>
      </c>
      <c r="B7" s="8" t="s">
        <v>12</v>
      </c>
      <c r="C7" s="7">
        <v>45732</v>
      </c>
      <c r="D7" s="8">
        <v>50000</v>
      </c>
      <c r="E7" s="7">
        <v>45899</v>
      </c>
      <c r="F7" s="8" t="str">
        <f t="shared" si="0"/>
        <v>C005-2025-03-16</v>
      </c>
      <c r="G7" s="8" t="str">
        <f>IF(COUNTIF($F$2:$F$42,F7)&gt;1, "Duplicate", "Ok")</f>
        <v>Ok</v>
      </c>
      <c r="H7" s="8" t="str">
        <f t="shared" si="2"/>
        <v>OK</v>
      </c>
      <c r="I7" s="8" t="str">
        <f t="shared" si="3"/>
        <v>OK</v>
      </c>
    </row>
    <row r="8" spans="1:9" x14ac:dyDescent="0.35">
      <c r="A8" s="8" t="s">
        <v>5</v>
      </c>
      <c r="B8" s="8" t="s">
        <v>10</v>
      </c>
      <c r="C8" s="7">
        <v>45899</v>
      </c>
      <c r="D8" s="5">
        <v>100000</v>
      </c>
      <c r="E8" s="7">
        <v>45930</v>
      </c>
      <c r="F8" s="8" t="str">
        <f t="shared" si="0"/>
        <v>C002-2025-08-30</v>
      </c>
      <c r="G8" s="8" t="str">
        <f t="shared" si="1"/>
        <v>Ok</v>
      </c>
      <c r="H8" s="8" t="str">
        <f t="shared" si="2"/>
        <v>OK</v>
      </c>
      <c r="I8" s="8" t="str">
        <f t="shared" si="3"/>
        <v>OK</v>
      </c>
    </row>
    <row r="9" spans="1:9" x14ac:dyDescent="0.35">
      <c r="A9" s="8" t="s">
        <v>7</v>
      </c>
      <c r="B9" s="8" t="s">
        <v>12</v>
      </c>
      <c r="C9" s="7">
        <v>45754</v>
      </c>
      <c r="D9" s="8">
        <v>100000</v>
      </c>
      <c r="E9" s="7">
        <v>45984</v>
      </c>
      <c r="F9" s="8" t="str">
        <f t="shared" si="0"/>
        <v>C005-2025-04-07</v>
      </c>
      <c r="G9" s="8" t="str">
        <f t="shared" si="1"/>
        <v>Ok</v>
      </c>
      <c r="H9" s="8" t="str">
        <f t="shared" si="2"/>
        <v>OK</v>
      </c>
      <c r="I9" s="8" t="str">
        <f t="shared" si="3"/>
        <v>OK</v>
      </c>
    </row>
    <row r="10" spans="1:9" x14ac:dyDescent="0.35">
      <c r="A10" s="8" t="s">
        <v>5</v>
      </c>
      <c r="B10" s="8" t="s">
        <v>10</v>
      </c>
      <c r="C10" s="7">
        <v>45937</v>
      </c>
      <c r="D10" s="8">
        <v>700000</v>
      </c>
      <c r="E10" s="7" t="s">
        <v>19</v>
      </c>
      <c r="F10" s="8" t="str">
        <f t="shared" si="0"/>
        <v>C002-2025-10-07</v>
      </c>
      <c r="G10" s="8" t="str">
        <f t="shared" si="1"/>
        <v>Ok</v>
      </c>
      <c r="H10" s="8" t="str">
        <f t="shared" si="2"/>
        <v>OK</v>
      </c>
      <c r="I10" s="8" t="str">
        <f t="shared" si="3"/>
        <v>OK</v>
      </c>
    </row>
    <row r="11" spans="1:9" x14ac:dyDescent="0.35">
      <c r="A11" s="8" t="s">
        <v>8</v>
      </c>
      <c r="B11" s="8" t="s">
        <v>13</v>
      </c>
      <c r="C11" s="7">
        <v>45828</v>
      </c>
      <c r="D11" s="8">
        <v>50000</v>
      </c>
      <c r="E11" s="7">
        <v>45921</v>
      </c>
      <c r="F11" s="8" t="str">
        <f t="shared" si="0"/>
        <v>C003-2025-06-20</v>
      </c>
      <c r="G11" s="8" t="str">
        <f t="shared" si="1"/>
        <v>Ok</v>
      </c>
      <c r="H11" s="8" t="str">
        <f t="shared" si="2"/>
        <v>OK</v>
      </c>
      <c r="I11" s="8" t="str">
        <f t="shared" si="3"/>
        <v>OK</v>
      </c>
    </row>
    <row r="12" spans="1:9" x14ac:dyDescent="0.35">
      <c r="A12" s="8" t="s">
        <v>8</v>
      </c>
      <c r="B12" s="8" t="s">
        <v>13</v>
      </c>
      <c r="C12" s="7">
        <v>45691</v>
      </c>
      <c r="D12" s="8">
        <v>100000</v>
      </c>
      <c r="E12" s="7">
        <v>45973</v>
      </c>
      <c r="F12" s="8" t="str">
        <f t="shared" si="0"/>
        <v>C003-2025-02-03</v>
      </c>
      <c r="G12" s="8" t="str">
        <f t="shared" si="1"/>
        <v>Ok</v>
      </c>
      <c r="H12" s="8" t="str">
        <f t="shared" si="2"/>
        <v>OK</v>
      </c>
      <c r="I12" s="8" t="str">
        <f t="shared" si="3"/>
        <v>OK</v>
      </c>
    </row>
    <row r="13" spans="1:9" x14ac:dyDescent="0.35">
      <c r="A13" s="8" t="s">
        <v>9</v>
      </c>
      <c r="B13" s="8" t="s">
        <v>14</v>
      </c>
      <c r="C13" s="7">
        <v>45908</v>
      </c>
      <c r="D13" s="8">
        <v>100000</v>
      </c>
      <c r="E13" s="7">
        <v>45937</v>
      </c>
      <c r="F13" s="8" t="str">
        <f t="shared" si="0"/>
        <v>C001-2025-09-08</v>
      </c>
      <c r="G13" s="8" t="str">
        <f t="shared" si="1"/>
        <v>Ok</v>
      </c>
      <c r="H13" s="8" t="str">
        <f t="shared" si="2"/>
        <v>OK</v>
      </c>
      <c r="I13" s="8" t="str">
        <f>IF(C13&gt;E13, "Inconsistent", "OK")</f>
        <v>OK</v>
      </c>
    </row>
    <row r="14" spans="1:9" x14ac:dyDescent="0.35">
      <c r="A14" s="8" t="s">
        <v>7</v>
      </c>
      <c r="B14" s="8" t="s">
        <v>12</v>
      </c>
      <c r="C14" s="7">
        <v>45905</v>
      </c>
      <c r="D14" s="8">
        <v>100000</v>
      </c>
      <c r="E14" s="7">
        <v>45905</v>
      </c>
      <c r="F14" s="8" t="str">
        <f t="shared" si="0"/>
        <v>C005-2025-09-05</v>
      </c>
      <c r="G14" s="8" t="str">
        <f t="shared" si="1"/>
        <v>Duplicate</v>
      </c>
      <c r="H14" s="8" t="str">
        <f t="shared" si="2"/>
        <v>OK</v>
      </c>
      <c r="I14" s="8" t="str">
        <f t="shared" si="3"/>
        <v>OK</v>
      </c>
    </row>
    <row r="15" spans="1:9" x14ac:dyDescent="0.35">
      <c r="A15" s="8" t="s">
        <v>6</v>
      </c>
      <c r="B15" s="8" t="s">
        <v>11</v>
      </c>
      <c r="C15" s="7">
        <v>45692</v>
      </c>
      <c r="D15" s="8">
        <v>100000</v>
      </c>
      <c r="E15" s="7" t="s">
        <v>17</v>
      </c>
      <c r="F15" s="8" t="str">
        <f t="shared" si="0"/>
        <v>C004-2025-02-04</v>
      </c>
      <c r="G15" s="8" t="str">
        <f t="shared" si="1"/>
        <v>Ok</v>
      </c>
      <c r="H15" s="8" t="str">
        <f t="shared" si="2"/>
        <v>OK</v>
      </c>
      <c r="I15" s="8" t="str">
        <f t="shared" si="3"/>
        <v>OK</v>
      </c>
    </row>
    <row r="16" spans="1:9" x14ac:dyDescent="0.35">
      <c r="A16" s="8" t="s">
        <v>8</v>
      </c>
      <c r="B16" s="8" t="s">
        <v>13</v>
      </c>
      <c r="C16" s="7">
        <v>45718</v>
      </c>
      <c r="D16" s="8">
        <v>1000000</v>
      </c>
      <c r="E16" s="7">
        <v>45841</v>
      </c>
      <c r="F16" s="8" t="str">
        <f t="shared" si="0"/>
        <v>C003-2025-03-02</v>
      </c>
      <c r="G16" s="8" t="str">
        <f t="shared" si="1"/>
        <v>Ok</v>
      </c>
      <c r="H16" s="8" t="str">
        <f t="shared" si="2"/>
        <v>OK</v>
      </c>
      <c r="I16" s="8" t="str">
        <f t="shared" si="3"/>
        <v>OK</v>
      </c>
    </row>
    <row r="17" spans="1:9" x14ac:dyDescent="0.35">
      <c r="A17" s="8" t="s">
        <v>9</v>
      </c>
      <c r="B17" s="8" t="s">
        <v>14</v>
      </c>
      <c r="C17" s="7">
        <v>45814</v>
      </c>
      <c r="D17" s="8">
        <v>70000</v>
      </c>
      <c r="E17" s="7">
        <v>45898</v>
      </c>
      <c r="F17" s="8" t="str">
        <f t="shared" si="0"/>
        <v>C001-2025-06-06</v>
      </c>
      <c r="G17" s="8" t="str">
        <f t="shared" si="1"/>
        <v>Ok</v>
      </c>
      <c r="H17" s="8" t="str">
        <f t="shared" si="2"/>
        <v>OK</v>
      </c>
      <c r="I17" s="8" t="str">
        <f t="shared" si="3"/>
        <v>OK</v>
      </c>
    </row>
    <row r="18" spans="1:9" x14ac:dyDescent="0.35">
      <c r="A18" s="8" t="s">
        <v>8</v>
      </c>
      <c r="B18" s="8" t="s">
        <v>13</v>
      </c>
      <c r="C18" s="7">
        <v>45697</v>
      </c>
      <c r="D18" s="8">
        <v>700000</v>
      </c>
      <c r="E18" s="7">
        <v>45826</v>
      </c>
      <c r="F18" s="8" t="str">
        <f t="shared" si="0"/>
        <v>C003-2025-02-09</v>
      </c>
      <c r="G18" s="8" t="str">
        <f t="shared" si="1"/>
        <v>Ok</v>
      </c>
      <c r="H18" s="8" t="str">
        <f t="shared" si="2"/>
        <v>OK</v>
      </c>
      <c r="I18" s="8" t="str">
        <f t="shared" si="3"/>
        <v>OK</v>
      </c>
    </row>
    <row r="19" spans="1:9" x14ac:dyDescent="0.35">
      <c r="A19" s="8" t="s">
        <v>8</v>
      </c>
      <c r="B19" s="8" t="s">
        <v>13</v>
      </c>
      <c r="C19" s="9">
        <v>45795</v>
      </c>
      <c r="D19" s="5">
        <v>10000</v>
      </c>
      <c r="E19" s="7"/>
      <c r="F19" s="8" t="str">
        <f t="shared" si="0"/>
        <v>C003-2025-05-18</v>
      </c>
      <c r="G19" s="8" t="str">
        <f t="shared" si="1"/>
        <v>Ok</v>
      </c>
      <c r="H19" s="8" t="str">
        <f t="shared" si="2"/>
        <v>OK</v>
      </c>
      <c r="I19" s="8" t="str">
        <f>IF(C19&gt;E19, "Inconsistent", "OK")</f>
        <v>Inconsistent</v>
      </c>
    </row>
    <row r="20" spans="1:9" x14ac:dyDescent="0.35">
      <c r="A20" s="8" t="s">
        <v>9</v>
      </c>
      <c r="B20" s="8" t="s">
        <v>14</v>
      </c>
      <c r="C20" s="7">
        <v>45873</v>
      </c>
      <c r="D20" s="8">
        <v>1000000</v>
      </c>
      <c r="E20" s="7">
        <v>45966</v>
      </c>
      <c r="F20" s="8" t="str">
        <f t="shared" si="0"/>
        <v>C001-2025-08-04</v>
      </c>
      <c r="G20" s="8" t="str">
        <f t="shared" si="1"/>
        <v>Ok</v>
      </c>
      <c r="H20" s="8" t="str">
        <f t="shared" si="2"/>
        <v>OK</v>
      </c>
      <c r="I20" s="8" t="str">
        <f t="shared" si="3"/>
        <v>OK</v>
      </c>
    </row>
    <row r="21" spans="1:9" x14ac:dyDescent="0.35">
      <c r="A21" s="8" t="s">
        <v>8</v>
      </c>
      <c r="B21" s="8" t="s">
        <v>13</v>
      </c>
      <c r="C21" s="9">
        <v>45947</v>
      </c>
      <c r="D21" s="5">
        <v>1000000</v>
      </c>
      <c r="E21" s="7">
        <v>45986</v>
      </c>
      <c r="F21" s="8" t="str">
        <f t="shared" si="0"/>
        <v>C003-2025-10-17</v>
      </c>
      <c r="G21" s="8" t="str">
        <f t="shared" si="1"/>
        <v>Ok</v>
      </c>
      <c r="H21" s="8" t="str">
        <f t="shared" si="2"/>
        <v>OK</v>
      </c>
      <c r="I21" s="8" t="str">
        <f t="shared" si="3"/>
        <v>OK</v>
      </c>
    </row>
    <row r="22" spans="1:9" x14ac:dyDescent="0.35">
      <c r="A22" s="8" t="s">
        <v>7</v>
      </c>
      <c r="B22" s="8" t="s">
        <v>12</v>
      </c>
      <c r="C22" s="7">
        <v>45905</v>
      </c>
      <c r="D22" s="8">
        <v>500000</v>
      </c>
      <c r="E22" s="7" t="s">
        <v>20</v>
      </c>
      <c r="F22" s="8" t="str">
        <f t="shared" si="0"/>
        <v>C005-2025-09-05</v>
      </c>
      <c r="G22" s="8" t="str">
        <f t="shared" si="1"/>
        <v>Duplicate</v>
      </c>
      <c r="H22" s="8" t="str">
        <f t="shared" si="2"/>
        <v>OK</v>
      </c>
      <c r="I22" s="8" t="str">
        <f t="shared" si="3"/>
        <v>OK</v>
      </c>
    </row>
    <row r="23" spans="1:9" x14ac:dyDescent="0.35">
      <c r="A23" s="8" t="s">
        <v>7</v>
      </c>
      <c r="B23" s="8" t="s">
        <v>12</v>
      </c>
      <c r="C23" s="9" t="s">
        <v>18</v>
      </c>
      <c r="D23" s="5">
        <v>500000</v>
      </c>
      <c r="E23" s="7"/>
      <c r="F23" s="8" t="str">
        <f t="shared" si="0"/>
        <v>C005-2025-09-24</v>
      </c>
      <c r="G23" s="8" t="str">
        <f t="shared" si="1"/>
        <v>Ok</v>
      </c>
      <c r="H23" s="8" t="str">
        <f t="shared" si="2"/>
        <v>OK</v>
      </c>
      <c r="I23" s="8" t="str">
        <f t="shared" si="3"/>
        <v>Inconsistent</v>
      </c>
    </row>
    <row r="24" spans="1:9" x14ac:dyDescent="0.35">
      <c r="A24" s="8" t="s">
        <v>7</v>
      </c>
      <c r="B24" s="8" t="s">
        <v>12</v>
      </c>
      <c r="C24" s="9">
        <v>45750</v>
      </c>
      <c r="D24" s="5">
        <v>1000000</v>
      </c>
      <c r="E24" s="7">
        <v>45933</v>
      </c>
      <c r="F24" s="8" t="str">
        <f t="shared" si="0"/>
        <v>C005-2025-04-03</v>
      </c>
      <c r="G24" s="8" t="str">
        <f t="shared" si="1"/>
        <v>Ok</v>
      </c>
      <c r="H24" s="8" t="str">
        <f t="shared" si="2"/>
        <v>OK</v>
      </c>
      <c r="I24" s="8" t="str">
        <f t="shared" si="3"/>
        <v>OK</v>
      </c>
    </row>
    <row r="25" spans="1:9" x14ac:dyDescent="0.35">
      <c r="A25" s="8" t="s">
        <v>5</v>
      </c>
      <c r="B25" s="8" t="s">
        <v>10</v>
      </c>
      <c r="C25" s="9">
        <v>45984</v>
      </c>
      <c r="D25" s="5">
        <v>1200000</v>
      </c>
      <c r="E25" s="7">
        <v>45991</v>
      </c>
      <c r="F25" s="8" t="str">
        <f t="shared" si="0"/>
        <v>C002-2025-11-23</v>
      </c>
      <c r="G25" s="8" t="str">
        <f t="shared" si="1"/>
        <v>Ok</v>
      </c>
      <c r="H25" s="8" t="str">
        <f t="shared" si="2"/>
        <v>OK</v>
      </c>
      <c r="I25" s="8" t="str">
        <f t="shared" si="3"/>
        <v>OK</v>
      </c>
    </row>
    <row r="26" spans="1:9" x14ac:dyDescent="0.35">
      <c r="A26" s="8" t="s">
        <v>8</v>
      </c>
      <c r="B26" s="8" t="s">
        <v>13</v>
      </c>
      <c r="C26" s="9">
        <v>45843</v>
      </c>
      <c r="D26" s="5">
        <v>700000</v>
      </c>
      <c r="E26" s="7">
        <v>45874</v>
      </c>
      <c r="F26" s="8" t="str">
        <f t="shared" si="0"/>
        <v>C003-2025-07-05</v>
      </c>
      <c r="G26" s="8" t="str">
        <f t="shared" si="1"/>
        <v>Ok</v>
      </c>
      <c r="H26" s="8" t="str">
        <f t="shared" si="2"/>
        <v>OK</v>
      </c>
      <c r="I26" s="8" t="str">
        <f t="shared" si="3"/>
        <v>OK</v>
      </c>
    </row>
    <row r="27" spans="1:9" x14ac:dyDescent="0.35">
      <c r="A27" s="8" t="s">
        <v>7</v>
      </c>
      <c r="B27" s="8" t="s">
        <v>12</v>
      </c>
      <c r="C27" s="7">
        <v>45880</v>
      </c>
      <c r="D27" s="8">
        <v>1200000</v>
      </c>
      <c r="E27" s="7">
        <v>45890</v>
      </c>
      <c r="F27" s="8" t="str">
        <f t="shared" si="0"/>
        <v>C005-2025-08-11</v>
      </c>
      <c r="G27" s="8" t="str">
        <f>IF(COUNTIF($F$2:$F$42,F27)&gt;1, "Duplicate", "Ok")</f>
        <v>Ok</v>
      </c>
      <c r="H27" s="8" t="str">
        <f t="shared" si="2"/>
        <v>OK</v>
      </c>
      <c r="I27" s="8" t="str">
        <f t="shared" si="3"/>
        <v>OK</v>
      </c>
    </row>
    <row r="28" spans="1:9" x14ac:dyDescent="0.35">
      <c r="A28" s="8" t="s">
        <v>5</v>
      </c>
      <c r="B28" s="8" t="s">
        <v>10</v>
      </c>
      <c r="C28" s="9">
        <v>45821</v>
      </c>
      <c r="D28" s="5">
        <v>120000</v>
      </c>
      <c r="E28" s="7">
        <v>45913</v>
      </c>
      <c r="F28" s="8" t="str">
        <f t="shared" si="0"/>
        <v>C002-2025-06-13</v>
      </c>
      <c r="G28" s="8" t="str">
        <f t="shared" si="1"/>
        <v>Ok</v>
      </c>
      <c r="H28" s="8" t="str">
        <f t="shared" si="2"/>
        <v>OK</v>
      </c>
      <c r="I28" s="8" t="str">
        <f t="shared" si="3"/>
        <v>OK</v>
      </c>
    </row>
    <row r="29" spans="1:9" x14ac:dyDescent="0.35">
      <c r="A29" s="8" t="s">
        <v>9</v>
      </c>
      <c r="B29" s="8" t="s">
        <v>14</v>
      </c>
      <c r="C29" s="9">
        <v>45674</v>
      </c>
      <c r="D29" s="5">
        <v>1200000</v>
      </c>
      <c r="E29" s="7">
        <v>45918</v>
      </c>
      <c r="F29" s="8" t="str">
        <f t="shared" si="0"/>
        <v>C001-2025-01-17</v>
      </c>
      <c r="G29" s="8" t="str">
        <f t="shared" si="1"/>
        <v>Ok</v>
      </c>
      <c r="H29" s="8" t="str">
        <f t="shared" si="2"/>
        <v>OK</v>
      </c>
      <c r="I29" s="8" t="str">
        <f t="shared" si="3"/>
        <v>OK</v>
      </c>
    </row>
    <row r="30" spans="1:9" x14ac:dyDescent="0.35">
      <c r="A30" s="8" t="s">
        <v>9</v>
      </c>
      <c r="B30" s="8" t="s">
        <v>14</v>
      </c>
      <c r="C30" s="9">
        <v>45915</v>
      </c>
      <c r="D30" s="5">
        <v>100000</v>
      </c>
      <c r="E30" s="7">
        <v>45916</v>
      </c>
      <c r="F30" s="8" t="str">
        <f t="shared" si="0"/>
        <v>C001-2025-09-15</v>
      </c>
      <c r="G30" s="8" t="str">
        <f t="shared" si="1"/>
        <v>Ok</v>
      </c>
      <c r="H30" s="8" t="str">
        <f t="shared" si="2"/>
        <v>OK</v>
      </c>
      <c r="I30" s="8" t="str">
        <f t="shared" si="3"/>
        <v>OK</v>
      </c>
    </row>
    <row r="31" spans="1:9" x14ac:dyDescent="0.35">
      <c r="A31" s="8" t="s">
        <v>8</v>
      </c>
      <c r="B31" s="8" t="s">
        <v>13</v>
      </c>
      <c r="C31" s="9">
        <v>45882</v>
      </c>
      <c r="D31" s="5">
        <v>1000000</v>
      </c>
      <c r="E31" s="7">
        <v>45914</v>
      </c>
      <c r="F31" s="8" t="str">
        <f t="shared" si="0"/>
        <v>C003-2025-08-13</v>
      </c>
      <c r="G31" s="8" t="str">
        <f t="shared" si="1"/>
        <v>Ok</v>
      </c>
      <c r="H31" s="8" t="str">
        <f t="shared" si="2"/>
        <v>OK</v>
      </c>
      <c r="I31" s="8" t="str">
        <f t="shared" si="3"/>
        <v>OK</v>
      </c>
    </row>
    <row r="32" spans="1:9" x14ac:dyDescent="0.35">
      <c r="A32" s="8" t="s">
        <v>8</v>
      </c>
      <c r="B32" s="8" t="s">
        <v>12</v>
      </c>
      <c r="C32" s="9">
        <v>45770</v>
      </c>
      <c r="D32" s="5">
        <v>1000000</v>
      </c>
      <c r="E32" s="7">
        <v>45955</v>
      </c>
      <c r="F32" s="8" t="str">
        <f t="shared" si="0"/>
        <v>C003-2025-04-23</v>
      </c>
      <c r="G32" s="8" t="str">
        <f t="shared" si="1"/>
        <v>Ok</v>
      </c>
      <c r="H32" s="8" t="str">
        <f>IF(B32 =VLOOKUP($A32,$A$2:$B$42,2,FALSE), "OK", "Mismatch")</f>
        <v>Mismatch</v>
      </c>
      <c r="I32" s="8" t="str">
        <f t="shared" si="3"/>
        <v>OK</v>
      </c>
    </row>
    <row r="33" spans="1:9" x14ac:dyDescent="0.35">
      <c r="A33" s="8" t="s">
        <v>7</v>
      </c>
      <c r="B33" s="8" t="s">
        <v>12</v>
      </c>
      <c r="C33" s="9">
        <v>45713</v>
      </c>
      <c r="D33" s="5">
        <v>500000</v>
      </c>
      <c r="E33" s="7">
        <v>45956</v>
      </c>
      <c r="F33" s="8" t="str">
        <f t="shared" si="0"/>
        <v>C005-2025-02-25</v>
      </c>
      <c r="G33" s="8" t="str">
        <f t="shared" si="1"/>
        <v>Ok</v>
      </c>
      <c r="H33" s="8" t="str">
        <f t="shared" si="2"/>
        <v>OK</v>
      </c>
      <c r="I33" s="8" t="str">
        <f t="shared" si="3"/>
        <v>OK</v>
      </c>
    </row>
    <row r="34" spans="1:9" x14ac:dyDescent="0.35">
      <c r="A34" s="8" t="s">
        <v>7</v>
      </c>
      <c r="B34" s="8" t="s">
        <v>12</v>
      </c>
      <c r="C34" s="7">
        <v>45923</v>
      </c>
      <c r="D34" s="8">
        <v>70000</v>
      </c>
      <c r="E34" s="7"/>
      <c r="F34" s="8" t="str">
        <f t="shared" si="0"/>
        <v>C005-2025-09-23</v>
      </c>
      <c r="G34" s="8" t="str">
        <f t="shared" si="1"/>
        <v>Ok</v>
      </c>
      <c r="H34" s="8" t="str">
        <f t="shared" si="2"/>
        <v>OK</v>
      </c>
      <c r="I34" s="8" t="str">
        <f>IF(C34&gt;E34, "Inconsistent", "OK")</f>
        <v>Inconsistent</v>
      </c>
    </row>
    <row r="35" spans="1:9" x14ac:dyDescent="0.35">
      <c r="A35" s="8" t="s">
        <v>7</v>
      </c>
      <c r="B35" s="8" t="s">
        <v>12</v>
      </c>
      <c r="C35" s="9">
        <v>45958</v>
      </c>
      <c r="D35" s="5">
        <v>1000000</v>
      </c>
      <c r="E35" s="7">
        <v>45989</v>
      </c>
      <c r="F35" s="8" t="str">
        <f t="shared" si="0"/>
        <v>C005-2025-10-28</v>
      </c>
      <c r="G35" s="8" t="str">
        <f>IF(COUNTIF($F$2:$F$42,F35)&gt;1, "Duplicate", "Ok")</f>
        <v>Ok</v>
      </c>
      <c r="H35" s="8" t="str">
        <f t="shared" si="2"/>
        <v>OK</v>
      </c>
      <c r="I35" s="8" t="str">
        <f t="shared" si="3"/>
        <v>OK</v>
      </c>
    </row>
    <row r="36" spans="1:9" x14ac:dyDescent="0.35">
      <c r="A36" s="8" t="s">
        <v>5</v>
      </c>
      <c r="B36" s="8" t="s">
        <v>10</v>
      </c>
      <c r="C36" s="9">
        <v>45851</v>
      </c>
      <c r="D36" s="5">
        <v>1200000</v>
      </c>
      <c r="E36" s="7">
        <v>45876</v>
      </c>
      <c r="F36" s="8" t="str">
        <f t="shared" si="0"/>
        <v>C002-2025-07-13</v>
      </c>
      <c r="G36" s="8" t="str">
        <f t="shared" si="1"/>
        <v>Ok</v>
      </c>
      <c r="H36" s="8" t="str">
        <f t="shared" si="2"/>
        <v>OK</v>
      </c>
      <c r="I36" s="8" t="str">
        <f t="shared" si="3"/>
        <v>OK</v>
      </c>
    </row>
    <row r="37" spans="1:9" x14ac:dyDescent="0.35">
      <c r="A37" s="8" t="s">
        <v>8</v>
      </c>
      <c r="B37" s="8" t="s">
        <v>13</v>
      </c>
      <c r="C37" s="9">
        <v>45965</v>
      </c>
      <c r="D37" s="5">
        <v>700000</v>
      </c>
      <c r="E37" s="7">
        <v>45979</v>
      </c>
      <c r="F37" s="8" t="str">
        <f t="shared" si="0"/>
        <v>C003-2025-11-04</v>
      </c>
      <c r="G37" s="8" t="str">
        <f t="shared" si="1"/>
        <v>Ok</v>
      </c>
      <c r="H37" s="8" t="str">
        <f t="shared" si="2"/>
        <v>OK</v>
      </c>
      <c r="I37" s="8" t="str">
        <f t="shared" si="3"/>
        <v>OK</v>
      </c>
    </row>
    <row r="38" spans="1:9" x14ac:dyDescent="0.35">
      <c r="A38" s="8" t="s">
        <v>7</v>
      </c>
      <c r="B38" s="8" t="s">
        <v>12</v>
      </c>
      <c r="C38" s="7">
        <v>45882</v>
      </c>
      <c r="D38" s="8">
        <v>1200000</v>
      </c>
      <c r="E38" s="7">
        <v>45950</v>
      </c>
      <c r="F38" s="8" t="str">
        <f t="shared" si="0"/>
        <v>C005-2025-08-13</v>
      </c>
      <c r="G38" s="8" t="str">
        <f t="shared" si="1"/>
        <v>Ok</v>
      </c>
      <c r="H38" s="8" t="str">
        <f t="shared" si="2"/>
        <v>OK</v>
      </c>
      <c r="I38" s="8" t="str">
        <f t="shared" si="3"/>
        <v>OK</v>
      </c>
    </row>
    <row r="39" spans="1:9" x14ac:dyDescent="0.35">
      <c r="A39" s="8" t="s">
        <v>5</v>
      </c>
      <c r="B39" s="8" t="s">
        <v>10</v>
      </c>
      <c r="C39" s="9">
        <v>45909</v>
      </c>
      <c r="D39" s="5">
        <v>120000</v>
      </c>
      <c r="E39" s="7">
        <v>45974</v>
      </c>
      <c r="F39" s="8" t="str">
        <f t="shared" si="0"/>
        <v>C002-2025-09-09</v>
      </c>
      <c r="G39" s="8" t="str">
        <f t="shared" si="1"/>
        <v>Ok</v>
      </c>
      <c r="H39" s="8" t="str">
        <f t="shared" si="2"/>
        <v>OK</v>
      </c>
      <c r="I39" s="8" t="str">
        <f t="shared" si="3"/>
        <v>OK</v>
      </c>
    </row>
    <row r="40" spans="1:9" x14ac:dyDescent="0.35">
      <c r="A40" s="8" t="s">
        <v>9</v>
      </c>
      <c r="B40" s="8" t="s">
        <v>13</v>
      </c>
      <c r="C40" s="9">
        <v>45885</v>
      </c>
      <c r="D40" s="5">
        <v>1200000</v>
      </c>
      <c r="E40" s="7">
        <v>45948</v>
      </c>
      <c r="F40" s="8" t="str">
        <f t="shared" si="0"/>
        <v>C001-2025-08-16</v>
      </c>
      <c r="G40" s="8" t="str">
        <f t="shared" si="1"/>
        <v>Ok</v>
      </c>
      <c r="H40" s="8" t="str">
        <f t="shared" si="2"/>
        <v>Mismatch</v>
      </c>
      <c r="I40" s="8" t="str">
        <f t="shared" si="3"/>
        <v>OK</v>
      </c>
    </row>
    <row r="41" spans="1:9" x14ac:dyDescent="0.35">
      <c r="A41" s="8" t="s">
        <v>9</v>
      </c>
      <c r="B41" s="8" t="s">
        <v>14</v>
      </c>
      <c r="C41" s="9">
        <v>45782</v>
      </c>
      <c r="D41" s="5">
        <v>100000</v>
      </c>
      <c r="E41" s="7">
        <v>45976</v>
      </c>
      <c r="F41" s="8" t="str">
        <f t="shared" si="0"/>
        <v>C001-2025-05-05</v>
      </c>
      <c r="G41" s="8" t="str">
        <f t="shared" si="1"/>
        <v>Ok</v>
      </c>
      <c r="H41" s="8" t="str">
        <f t="shared" si="2"/>
        <v>OK</v>
      </c>
      <c r="I41" s="8" t="str">
        <f t="shared" si="3"/>
        <v>OK</v>
      </c>
    </row>
    <row r="42" spans="1:9" x14ac:dyDescent="0.35">
      <c r="A42" s="8" t="s">
        <v>8</v>
      </c>
      <c r="B42" s="8" t="s">
        <v>13</v>
      </c>
      <c r="C42" s="9">
        <v>45682</v>
      </c>
      <c r="D42" s="5">
        <v>1000000</v>
      </c>
      <c r="E42" s="7">
        <v>45926</v>
      </c>
      <c r="F42" s="8" t="str">
        <f t="shared" si="0"/>
        <v>C003-2025-01-25</v>
      </c>
      <c r="G42" s="8" t="str">
        <f t="shared" si="1"/>
        <v>Ok</v>
      </c>
      <c r="H42" s="8" t="str">
        <f t="shared" si="2"/>
        <v>OK</v>
      </c>
      <c r="I42" s="8" t="str">
        <f>IF(C42&gt;E42, "Inconsistent", "OK")</f>
        <v>OK</v>
      </c>
    </row>
    <row r="43" spans="1:9" x14ac:dyDescent="0.35">
      <c r="A43" s="8" t="s">
        <v>9</v>
      </c>
      <c r="B43" s="8" t="s">
        <v>14</v>
      </c>
      <c r="C43" s="7">
        <v>45929</v>
      </c>
      <c r="D43" s="8">
        <v>1000000</v>
      </c>
      <c r="E43" s="7">
        <v>45929</v>
      </c>
      <c r="F43" s="8" t="str">
        <f t="shared" si="0"/>
        <v>C001-2025-09-29</v>
      </c>
      <c r="G43" s="8" t="str">
        <f t="shared" ref="G43:G52" si="4">IF(COUNTIF($F$2:$F$42,F43)&gt;1, "Duplicate", "Ok")</f>
        <v>Ok</v>
      </c>
      <c r="H43" s="8" t="str">
        <f t="shared" ref="H43:H52" si="5">IF(B43 =VLOOKUP($A43,$A$2:$B$42,2,FALSE), "OK", "Mismatch")</f>
        <v>OK</v>
      </c>
      <c r="I43" s="8" t="str">
        <f t="shared" ref="I43:I52" si="6">IF(C43&gt;E43, "Inconsistent", "OK")</f>
        <v>OK</v>
      </c>
    </row>
    <row r="44" spans="1:9" x14ac:dyDescent="0.35">
      <c r="A44" s="8" t="s">
        <v>8</v>
      </c>
      <c r="B44" s="8" t="s">
        <v>13</v>
      </c>
      <c r="C44" s="7">
        <v>45734</v>
      </c>
      <c r="D44" s="8">
        <v>1000000</v>
      </c>
      <c r="E44" s="8" t="s">
        <v>18</v>
      </c>
      <c r="F44" s="8" t="str">
        <f t="shared" si="0"/>
        <v>C003-2025-03-18</v>
      </c>
      <c r="G44" s="8" t="str">
        <f t="shared" si="4"/>
        <v>Ok</v>
      </c>
      <c r="H44" s="8" t="str">
        <f t="shared" si="5"/>
        <v>OK</v>
      </c>
      <c r="I44" s="8" t="str">
        <f t="shared" si="6"/>
        <v>OK</v>
      </c>
    </row>
    <row r="45" spans="1:9" x14ac:dyDescent="0.35">
      <c r="A45" s="8" t="s">
        <v>7</v>
      </c>
      <c r="B45" s="8" t="s">
        <v>12</v>
      </c>
      <c r="C45" s="7">
        <v>45740</v>
      </c>
      <c r="D45" s="8">
        <v>500000</v>
      </c>
      <c r="E45" s="7">
        <v>45925</v>
      </c>
      <c r="F45" s="8" t="str">
        <f t="shared" si="0"/>
        <v>C005-2025-03-24</v>
      </c>
      <c r="G45" s="8" t="str">
        <f t="shared" si="4"/>
        <v>Ok</v>
      </c>
      <c r="H45" s="8" t="str">
        <f t="shared" si="5"/>
        <v>OK</v>
      </c>
      <c r="I45" s="8" t="str">
        <f t="shared" si="6"/>
        <v>OK</v>
      </c>
    </row>
    <row r="46" spans="1:9" x14ac:dyDescent="0.35">
      <c r="A46" s="8" t="s">
        <v>7</v>
      </c>
      <c r="B46" s="8" t="s">
        <v>12</v>
      </c>
      <c r="C46" s="7">
        <v>45862</v>
      </c>
      <c r="D46" s="8">
        <v>500000</v>
      </c>
      <c r="E46" s="7">
        <v>45954</v>
      </c>
      <c r="F46" s="8" t="str">
        <f t="shared" si="0"/>
        <v>C005-2025-07-24</v>
      </c>
      <c r="G46" s="8" t="str">
        <f t="shared" si="4"/>
        <v>Ok</v>
      </c>
      <c r="H46" s="8" t="str">
        <f t="shared" si="5"/>
        <v>OK</v>
      </c>
      <c r="I46" s="8" t="str">
        <f t="shared" si="6"/>
        <v>OK</v>
      </c>
    </row>
    <row r="47" spans="1:9" x14ac:dyDescent="0.35">
      <c r="A47" s="8" t="s">
        <v>7</v>
      </c>
      <c r="B47" s="8" t="s">
        <v>12</v>
      </c>
      <c r="C47" s="7">
        <v>45840</v>
      </c>
      <c r="D47" s="8">
        <v>1000000</v>
      </c>
      <c r="E47" s="7">
        <v>45988</v>
      </c>
      <c r="F47" s="8" t="str">
        <f t="shared" si="0"/>
        <v>C005-2025-07-02</v>
      </c>
      <c r="G47" s="8" t="str">
        <f t="shared" si="4"/>
        <v>Ok</v>
      </c>
      <c r="H47" s="8" t="str">
        <f t="shared" si="5"/>
        <v>OK</v>
      </c>
      <c r="I47" s="8" t="str">
        <f t="shared" si="6"/>
        <v>OK</v>
      </c>
    </row>
    <row r="48" spans="1:9" x14ac:dyDescent="0.35">
      <c r="A48" s="8" t="s">
        <v>5</v>
      </c>
      <c r="B48" s="8" t="s">
        <v>10</v>
      </c>
      <c r="C48" s="7">
        <v>45891</v>
      </c>
      <c r="D48" s="8">
        <v>1200000</v>
      </c>
      <c r="E48" s="7">
        <v>45922</v>
      </c>
      <c r="F48" s="8" t="str">
        <f t="shared" si="0"/>
        <v>C002-2025-08-22</v>
      </c>
      <c r="G48" s="8" t="str">
        <f t="shared" si="4"/>
        <v>Ok</v>
      </c>
      <c r="H48" s="8" t="str">
        <f t="shared" si="5"/>
        <v>OK</v>
      </c>
      <c r="I48" s="8" t="str">
        <f t="shared" si="6"/>
        <v>OK</v>
      </c>
    </row>
    <row r="49" spans="1:9" x14ac:dyDescent="0.35">
      <c r="A49" s="8" t="s">
        <v>8</v>
      </c>
      <c r="B49" s="8" t="s">
        <v>13</v>
      </c>
      <c r="C49" s="7">
        <v>45752</v>
      </c>
      <c r="D49" s="8">
        <v>700000</v>
      </c>
      <c r="E49" s="7">
        <v>45936</v>
      </c>
      <c r="F49" s="8" t="str">
        <f t="shared" si="0"/>
        <v>C003-2025-04-05</v>
      </c>
      <c r="G49" s="8" t="str">
        <f t="shared" si="4"/>
        <v>Ok</v>
      </c>
      <c r="H49" s="8" t="str">
        <f t="shared" si="5"/>
        <v>OK</v>
      </c>
      <c r="I49" s="8" t="str">
        <f t="shared" si="6"/>
        <v>OK</v>
      </c>
    </row>
    <row r="50" spans="1:9" x14ac:dyDescent="0.35">
      <c r="A50" s="8" t="s">
        <v>7</v>
      </c>
      <c r="B50" s="8" t="s">
        <v>12</v>
      </c>
      <c r="C50" s="7">
        <v>45821</v>
      </c>
      <c r="D50" s="8">
        <v>1200000</v>
      </c>
      <c r="E50" s="8" t="s">
        <v>15</v>
      </c>
      <c r="F50" s="8" t="str">
        <f t="shared" si="0"/>
        <v>C005-2025-06-13</v>
      </c>
      <c r="G50" s="8" t="str">
        <f t="shared" si="4"/>
        <v>Ok</v>
      </c>
      <c r="H50" s="8" t="str">
        <f t="shared" si="5"/>
        <v>OK</v>
      </c>
      <c r="I50" s="8" t="str">
        <f t="shared" si="6"/>
        <v>OK</v>
      </c>
    </row>
    <row r="51" spans="1:9" x14ac:dyDescent="0.35">
      <c r="A51" s="8" t="s">
        <v>5</v>
      </c>
      <c r="B51" s="8" t="s">
        <v>10</v>
      </c>
      <c r="C51" s="7">
        <v>45786</v>
      </c>
      <c r="D51" s="8">
        <v>120000</v>
      </c>
      <c r="E51" s="7">
        <v>45974</v>
      </c>
      <c r="F51" s="8" t="str">
        <f t="shared" si="0"/>
        <v>C002-2025-05-09</v>
      </c>
      <c r="G51" s="8" t="str">
        <f t="shared" si="4"/>
        <v>Ok</v>
      </c>
      <c r="H51" s="8" t="str">
        <f t="shared" si="5"/>
        <v>OK</v>
      </c>
      <c r="I51" s="8" t="str">
        <f t="shared" si="6"/>
        <v>OK</v>
      </c>
    </row>
    <row r="52" spans="1:9" x14ac:dyDescent="0.35">
      <c r="A52" s="8" t="s">
        <v>9</v>
      </c>
      <c r="B52" s="8" t="s">
        <v>14</v>
      </c>
      <c r="C52" s="7">
        <v>45743</v>
      </c>
      <c r="D52" s="8">
        <v>1200000</v>
      </c>
      <c r="E52" s="7">
        <v>45988</v>
      </c>
      <c r="F52" s="8" t="str">
        <f t="shared" si="0"/>
        <v>C001-2025-03-27</v>
      </c>
      <c r="G52" s="8" t="str">
        <f t="shared" si="4"/>
        <v>Ok</v>
      </c>
      <c r="H52" s="8" t="str">
        <f t="shared" si="5"/>
        <v>OK</v>
      </c>
      <c r="I52" s="8" t="str">
        <f t="shared" si="6"/>
        <v>OK</v>
      </c>
    </row>
  </sheetData>
  <conditionalFormatting sqref="H1:I1 G1:G52">
    <cfRule type="containsText" dxfId="132" priority="3" operator="containsText" text="Duplicate">
      <formula>NOT(ISERROR(SEARCH("Duplicate",G1)))</formula>
    </cfRule>
    <cfRule type="expression" dxfId="131" priority="4">
      <formula>"""Duplicate"""</formula>
    </cfRule>
  </conditionalFormatting>
  <conditionalFormatting sqref="D2:D42">
    <cfRule type="cellIs" dxfId="130" priority="5" operator="greaterThan">
      <formula>2000000</formula>
    </cfRule>
    <cfRule type="cellIs" dxfId="129" priority="6" operator="lessThan">
      <formula>100000</formula>
    </cfRule>
  </conditionalFormatting>
  <conditionalFormatting sqref="I1 H1:H1048576">
    <cfRule type="cellIs" dxfId="128" priority="2" operator="equal">
      <formula>"Mismatch"</formula>
    </cfRule>
  </conditionalFormatting>
  <conditionalFormatting sqref="I1:I1048576">
    <cfRule type="cellIs" dxfId="127" priority="1" operator="equal">
      <formula>"Inconsistent"</formula>
    </cfRule>
  </conditionalFormatting>
  <pageMargins left="0.7" right="0.7" top="0.75" bottom="0.75" header="0.3" footer="0.3"/>
  <pageSetup paperSize="9" orientation="portrait" horizontalDpi="200" verticalDpi="200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EC4DD-2F63-4144-83F7-0BDA35E89FDD}">
  <dimension ref="A1:K53"/>
  <sheetViews>
    <sheetView zoomScale="80" zoomScaleNormal="80" workbookViewId="0">
      <pane ySplit="1" topLeftCell="A2" activePane="bottomLeft" state="frozen"/>
      <selection pane="bottomLeft" activeCell="L1" sqref="L1"/>
    </sheetView>
  </sheetViews>
  <sheetFormatPr defaultRowHeight="14.5" x14ac:dyDescent="0.35"/>
  <cols>
    <col min="1" max="1" width="8.7265625" style="55"/>
    <col min="2" max="2" width="15.36328125" style="55" bestFit="1" customWidth="1"/>
    <col min="3" max="3" width="18.54296875" style="55" bestFit="1" customWidth="1"/>
    <col min="4" max="4" width="13" style="60" bestFit="1" customWidth="1"/>
    <col min="5" max="5" width="15.90625" style="55" bestFit="1" customWidth="1"/>
    <col min="6" max="6" width="14.54296875" style="60" bestFit="1" customWidth="1"/>
    <col min="7" max="7" width="14.54296875" style="55" customWidth="1"/>
    <col min="8" max="8" width="14.90625" style="55" bestFit="1" customWidth="1"/>
    <col min="9" max="9" width="15" style="46" bestFit="1" customWidth="1"/>
    <col min="10" max="10" width="17.08984375" style="46" bestFit="1" customWidth="1"/>
    <col min="11" max="11" width="19.7265625" style="55" bestFit="1" customWidth="1"/>
    <col min="12" max="16384" width="8.7265625" style="46"/>
  </cols>
  <sheetData>
    <row r="1" spans="1:11" s="45" customFormat="1" x14ac:dyDescent="0.35">
      <c r="A1" s="33" t="s">
        <v>70</v>
      </c>
      <c r="B1" s="4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29</v>
      </c>
      <c r="H1" s="2" t="s">
        <v>22</v>
      </c>
      <c r="I1" s="4" t="s">
        <v>93</v>
      </c>
      <c r="J1" s="4" t="s">
        <v>21</v>
      </c>
      <c r="K1" s="4" t="s">
        <v>24</v>
      </c>
    </row>
    <row r="2" spans="1:11" x14ac:dyDescent="0.35">
      <c r="A2" s="32">
        <f>ROW()-1</f>
        <v>1</v>
      </c>
      <c r="B2" s="31" t="s">
        <v>9</v>
      </c>
      <c r="C2" s="28" t="s">
        <v>14</v>
      </c>
      <c r="D2" s="7">
        <v>45908</v>
      </c>
      <c r="E2" s="29">
        <v>100000</v>
      </c>
      <c r="F2" s="7">
        <v>45937</v>
      </c>
      <c r="G2" s="30"/>
      <c r="H2" s="28" t="str">
        <f t="shared" ref="H2:H33" si="0">$B2&amp;"-"&amp;TEXT( $D2,"yyyy-mm-dd")</f>
        <v>C001-2025-09-08</v>
      </c>
      <c r="I2" s="28" t="str">
        <f t="shared" ref="I2:I33" si="1">IF(COUNTIF($H$2:$H$52,H2)&gt;1, "Duplicate", "Ok")</f>
        <v>Ok</v>
      </c>
      <c r="J2" s="28" t="str">
        <f t="shared" ref="J2:J33" si="2">IF(C2 =VLOOKUP($B2,$B$2:$C$52,2,FALSE), "OK", "Mismatch")</f>
        <v>OK</v>
      </c>
      <c r="K2" s="28" t="str">
        <f t="shared" ref="K2:K33" si="3">IF(D2&gt;F2, "Inconsistent", "OK")</f>
        <v>OK</v>
      </c>
    </row>
    <row r="3" spans="1:11" x14ac:dyDescent="0.35">
      <c r="A3" s="32">
        <f t="shared" ref="A3:A53" si="4">ROW()-1</f>
        <v>2</v>
      </c>
      <c r="B3" s="32" t="s">
        <v>9</v>
      </c>
      <c r="C3" s="6" t="s">
        <v>14</v>
      </c>
      <c r="D3" s="7">
        <v>45814</v>
      </c>
      <c r="E3" s="8">
        <v>70000</v>
      </c>
      <c r="F3" s="7">
        <v>45898</v>
      </c>
      <c r="G3" s="7"/>
      <c r="H3" s="6" t="str">
        <f t="shared" si="0"/>
        <v>C001-2025-06-06</v>
      </c>
      <c r="I3" s="6" t="str">
        <f t="shared" si="1"/>
        <v>Ok</v>
      </c>
      <c r="J3" s="6" t="str">
        <f t="shared" si="2"/>
        <v>OK</v>
      </c>
      <c r="K3" s="6" t="str">
        <f t="shared" si="3"/>
        <v>OK</v>
      </c>
    </row>
    <row r="4" spans="1:11" x14ac:dyDescent="0.35">
      <c r="A4" s="32">
        <f t="shared" si="4"/>
        <v>3</v>
      </c>
      <c r="B4" s="32" t="s">
        <v>9</v>
      </c>
      <c r="C4" s="6" t="s">
        <v>14</v>
      </c>
      <c r="D4" s="7">
        <v>45873</v>
      </c>
      <c r="E4" s="8">
        <v>1000000</v>
      </c>
      <c r="F4" s="7">
        <v>45966</v>
      </c>
      <c r="G4" s="7"/>
      <c r="H4" s="6" t="str">
        <f t="shared" si="0"/>
        <v>C001-2025-08-04</v>
      </c>
      <c r="I4" s="6" t="str">
        <f t="shared" si="1"/>
        <v>Ok</v>
      </c>
      <c r="J4" s="6" t="str">
        <f t="shared" si="2"/>
        <v>OK</v>
      </c>
      <c r="K4" s="6" t="str">
        <f t="shared" si="3"/>
        <v>OK</v>
      </c>
    </row>
    <row r="5" spans="1:11" x14ac:dyDescent="0.35">
      <c r="A5" s="32">
        <f t="shared" si="4"/>
        <v>4</v>
      </c>
      <c r="B5" s="32" t="s">
        <v>9</v>
      </c>
      <c r="C5" s="6" t="s">
        <v>14</v>
      </c>
      <c r="D5" s="9">
        <v>45674</v>
      </c>
      <c r="E5" s="5">
        <v>1200000</v>
      </c>
      <c r="F5" s="7">
        <v>45918</v>
      </c>
      <c r="G5" s="7"/>
      <c r="H5" s="6" t="str">
        <f t="shared" si="0"/>
        <v>C001-2025-01-17</v>
      </c>
      <c r="I5" s="6" t="str">
        <f t="shared" si="1"/>
        <v>Ok</v>
      </c>
      <c r="J5" s="6" t="str">
        <f t="shared" si="2"/>
        <v>OK</v>
      </c>
      <c r="K5" s="6" t="str">
        <f t="shared" si="3"/>
        <v>OK</v>
      </c>
    </row>
    <row r="6" spans="1:11" x14ac:dyDescent="0.35">
      <c r="A6" s="32">
        <f t="shared" si="4"/>
        <v>5</v>
      </c>
      <c r="B6" s="32" t="s">
        <v>9</v>
      </c>
      <c r="C6" s="6" t="s">
        <v>14</v>
      </c>
      <c r="D6" s="9">
        <v>45915</v>
      </c>
      <c r="E6" s="5">
        <v>100000</v>
      </c>
      <c r="F6" s="7">
        <v>45916</v>
      </c>
      <c r="G6" s="7"/>
      <c r="H6" s="6" t="str">
        <f t="shared" si="0"/>
        <v>C001-2025-09-15</v>
      </c>
      <c r="I6" s="6" t="str">
        <f t="shared" si="1"/>
        <v>Ok</v>
      </c>
      <c r="J6" s="6" t="str">
        <f t="shared" si="2"/>
        <v>OK</v>
      </c>
      <c r="K6" s="6" t="str">
        <f t="shared" si="3"/>
        <v>OK</v>
      </c>
    </row>
    <row r="7" spans="1:11" x14ac:dyDescent="0.35">
      <c r="A7" s="32">
        <f t="shared" si="4"/>
        <v>6</v>
      </c>
      <c r="B7" s="32" t="s">
        <v>9</v>
      </c>
      <c r="C7" s="6" t="s">
        <v>13</v>
      </c>
      <c r="D7" s="9">
        <v>45885</v>
      </c>
      <c r="E7" s="5">
        <v>1200000</v>
      </c>
      <c r="F7" s="7">
        <v>45948</v>
      </c>
      <c r="G7" s="7"/>
      <c r="H7" s="6" t="str">
        <f t="shared" si="0"/>
        <v>C001-2025-08-16</v>
      </c>
      <c r="I7" s="6" t="str">
        <f t="shared" si="1"/>
        <v>Ok</v>
      </c>
      <c r="J7" s="6" t="str">
        <f t="shared" si="2"/>
        <v>Mismatch</v>
      </c>
      <c r="K7" s="6" t="str">
        <f t="shared" si="3"/>
        <v>OK</v>
      </c>
    </row>
    <row r="8" spans="1:11" x14ac:dyDescent="0.35">
      <c r="A8" s="32">
        <f t="shared" si="4"/>
        <v>7</v>
      </c>
      <c r="B8" s="32" t="s">
        <v>9</v>
      </c>
      <c r="C8" s="6" t="s">
        <v>14</v>
      </c>
      <c r="D8" s="9">
        <v>45782</v>
      </c>
      <c r="E8" s="5">
        <v>100000</v>
      </c>
      <c r="F8" s="7">
        <v>45976</v>
      </c>
      <c r="G8" s="7"/>
      <c r="H8" s="6" t="str">
        <f t="shared" si="0"/>
        <v>C001-2025-05-05</v>
      </c>
      <c r="I8" s="6" t="str">
        <f t="shared" si="1"/>
        <v>Ok</v>
      </c>
      <c r="J8" s="6" t="str">
        <f t="shared" si="2"/>
        <v>OK</v>
      </c>
      <c r="K8" s="6" t="str">
        <f t="shared" si="3"/>
        <v>OK</v>
      </c>
    </row>
    <row r="9" spans="1:11" x14ac:dyDescent="0.35">
      <c r="A9" s="32">
        <f t="shared" si="4"/>
        <v>8</v>
      </c>
      <c r="B9" s="32" t="s">
        <v>9</v>
      </c>
      <c r="C9" s="8" t="s">
        <v>14</v>
      </c>
      <c r="D9" s="7">
        <v>45929</v>
      </c>
      <c r="E9" s="8">
        <v>1000000</v>
      </c>
      <c r="F9" s="7">
        <v>45929</v>
      </c>
      <c r="G9" s="7"/>
      <c r="H9" s="8" t="str">
        <f t="shared" si="0"/>
        <v>C001-2025-09-29</v>
      </c>
      <c r="I9" s="6" t="str">
        <f t="shared" si="1"/>
        <v>Ok</v>
      </c>
      <c r="J9" s="6" t="str">
        <f t="shared" si="2"/>
        <v>OK</v>
      </c>
      <c r="K9" s="8" t="str">
        <f t="shared" si="3"/>
        <v>OK</v>
      </c>
    </row>
    <row r="10" spans="1:11" x14ac:dyDescent="0.35">
      <c r="A10" s="32">
        <f t="shared" si="4"/>
        <v>9</v>
      </c>
      <c r="B10" s="32" t="s">
        <v>9</v>
      </c>
      <c r="C10" s="8" t="s">
        <v>14</v>
      </c>
      <c r="D10" s="7">
        <v>45743</v>
      </c>
      <c r="E10" s="8">
        <v>1200000</v>
      </c>
      <c r="F10" s="7">
        <v>45988</v>
      </c>
      <c r="G10" s="7"/>
      <c r="H10" s="8" t="str">
        <f t="shared" si="0"/>
        <v>C001-2025-03-27</v>
      </c>
      <c r="I10" s="6" t="str">
        <f t="shared" si="1"/>
        <v>Ok</v>
      </c>
      <c r="J10" s="6" t="str">
        <f t="shared" si="2"/>
        <v>OK</v>
      </c>
      <c r="K10" s="8" t="str">
        <f t="shared" si="3"/>
        <v>OK</v>
      </c>
    </row>
    <row r="11" spans="1:11" x14ac:dyDescent="0.35">
      <c r="A11" s="32">
        <f t="shared" si="4"/>
        <v>10</v>
      </c>
      <c r="B11" s="32" t="s">
        <v>5</v>
      </c>
      <c r="C11" s="6" t="s">
        <v>10</v>
      </c>
      <c r="D11" s="7">
        <v>45677</v>
      </c>
      <c r="E11" s="8">
        <v>500000</v>
      </c>
      <c r="F11" s="7">
        <v>45958</v>
      </c>
      <c r="G11" s="36" t="s">
        <v>31</v>
      </c>
      <c r="H11" s="6" t="str">
        <f t="shared" si="0"/>
        <v>C002-2025-01-20</v>
      </c>
      <c r="I11" s="6" t="str">
        <f t="shared" si="1"/>
        <v>Ok</v>
      </c>
      <c r="J11" s="6" t="str">
        <f t="shared" si="2"/>
        <v>OK</v>
      </c>
      <c r="K11" s="6" t="str">
        <f t="shared" si="3"/>
        <v>OK</v>
      </c>
    </row>
    <row r="12" spans="1:11" x14ac:dyDescent="0.35">
      <c r="A12" s="32">
        <f t="shared" si="4"/>
        <v>11</v>
      </c>
      <c r="B12" s="32" t="s">
        <v>5</v>
      </c>
      <c r="C12" s="6" t="s">
        <v>10</v>
      </c>
      <c r="D12" s="7" t="s">
        <v>16</v>
      </c>
      <c r="E12" s="8">
        <v>100000</v>
      </c>
      <c r="F12" s="7">
        <v>45904</v>
      </c>
      <c r="G12" s="7"/>
      <c r="H12" s="6" t="str">
        <f t="shared" si="0"/>
        <v>C002-2025-09-03</v>
      </c>
      <c r="I12" s="6" t="str">
        <f t="shared" si="1"/>
        <v>Ok</v>
      </c>
      <c r="J12" s="6" t="str">
        <f t="shared" si="2"/>
        <v>OK</v>
      </c>
      <c r="K12" s="6" t="str">
        <f t="shared" si="3"/>
        <v>Inconsistent</v>
      </c>
    </row>
    <row r="13" spans="1:11" x14ac:dyDescent="0.35">
      <c r="A13" s="32">
        <f t="shared" si="4"/>
        <v>12</v>
      </c>
      <c r="B13" s="32" t="s">
        <v>5</v>
      </c>
      <c r="C13" s="6" t="s">
        <v>11</v>
      </c>
      <c r="D13" s="7">
        <v>45768</v>
      </c>
      <c r="E13" s="8">
        <v>1200000</v>
      </c>
      <c r="F13" s="7">
        <v>45891</v>
      </c>
      <c r="G13" s="7"/>
      <c r="H13" s="6" t="str">
        <f t="shared" si="0"/>
        <v>C002-2025-04-21</v>
      </c>
      <c r="I13" s="6" t="str">
        <f t="shared" si="1"/>
        <v>Ok</v>
      </c>
      <c r="J13" s="6" t="str">
        <f t="shared" si="2"/>
        <v>Mismatch</v>
      </c>
      <c r="K13" s="6" t="str">
        <f t="shared" si="3"/>
        <v>OK</v>
      </c>
    </row>
    <row r="14" spans="1:11" x14ac:dyDescent="0.35">
      <c r="A14" s="32">
        <f t="shared" si="4"/>
        <v>13</v>
      </c>
      <c r="B14" s="32" t="s">
        <v>5</v>
      </c>
      <c r="C14" s="6" t="s">
        <v>10</v>
      </c>
      <c r="D14" s="7">
        <v>45899</v>
      </c>
      <c r="E14" s="5">
        <v>100000</v>
      </c>
      <c r="F14" s="7">
        <v>45930</v>
      </c>
      <c r="G14" s="7"/>
      <c r="H14" s="6" t="str">
        <f t="shared" si="0"/>
        <v>C002-2025-08-30</v>
      </c>
      <c r="I14" s="6" t="str">
        <f t="shared" si="1"/>
        <v>Ok</v>
      </c>
      <c r="J14" s="6" t="str">
        <f t="shared" si="2"/>
        <v>OK</v>
      </c>
      <c r="K14" s="6" t="str">
        <f t="shared" si="3"/>
        <v>OK</v>
      </c>
    </row>
    <row r="15" spans="1:11" x14ac:dyDescent="0.35">
      <c r="A15" s="32">
        <f t="shared" si="4"/>
        <v>14</v>
      </c>
      <c r="B15" s="32" t="s">
        <v>5</v>
      </c>
      <c r="C15" s="6" t="s">
        <v>10</v>
      </c>
      <c r="D15" s="7">
        <v>45937</v>
      </c>
      <c r="E15" s="8">
        <v>700000</v>
      </c>
      <c r="F15" s="7">
        <v>45989</v>
      </c>
      <c r="G15" s="7"/>
      <c r="H15" s="6" t="str">
        <f t="shared" si="0"/>
        <v>C002-2025-10-07</v>
      </c>
      <c r="I15" s="6" t="str">
        <f t="shared" si="1"/>
        <v>Ok</v>
      </c>
      <c r="J15" s="6" t="str">
        <f t="shared" si="2"/>
        <v>OK</v>
      </c>
      <c r="K15" s="6" t="str">
        <f t="shared" si="3"/>
        <v>OK</v>
      </c>
    </row>
    <row r="16" spans="1:11" x14ac:dyDescent="0.35">
      <c r="A16" s="32">
        <f t="shared" si="4"/>
        <v>15</v>
      </c>
      <c r="B16" s="32" t="s">
        <v>5</v>
      </c>
      <c r="C16" s="6" t="s">
        <v>10</v>
      </c>
      <c r="D16" s="9">
        <v>45984</v>
      </c>
      <c r="E16" s="5">
        <v>1200000</v>
      </c>
      <c r="F16" s="7">
        <v>45991</v>
      </c>
      <c r="G16" s="7"/>
      <c r="H16" s="6" t="str">
        <f t="shared" si="0"/>
        <v>C002-2025-11-23</v>
      </c>
      <c r="I16" s="6" t="str">
        <f t="shared" si="1"/>
        <v>Ok</v>
      </c>
      <c r="J16" s="6" t="str">
        <f t="shared" si="2"/>
        <v>OK</v>
      </c>
      <c r="K16" s="6" t="str">
        <f t="shared" si="3"/>
        <v>OK</v>
      </c>
    </row>
    <row r="17" spans="1:11" x14ac:dyDescent="0.35">
      <c r="A17" s="32">
        <f t="shared" si="4"/>
        <v>16</v>
      </c>
      <c r="B17" s="32" t="s">
        <v>5</v>
      </c>
      <c r="C17" s="6" t="s">
        <v>10</v>
      </c>
      <c r="D17" s="9">
        <v>45821</v>
      </c>
      <c r="E17" s="5">
        <v>120000</v>
      </c>
      <c r="F17" s="7">
        <v>45913</v>
      </c>
      <c r="G17" s="7"/>
      <c r="H17" s="6" t="str">
        <f t="shared" si="0"/>
        <v>C002-2025-06-13</v>
      </c>
      <c r="I17" s="6" t="str">
        <f t="shared" si="1"/>
        <v>Ok</v>
      </c>
      <c r="J17" s="6" t="str">
        <f t="shared" si="2"/>
        <v>OK</v>
      </c>
      <c r="K17" s="6" t="str">
        <f t="shared" si="3"/>
        <v>OK</v>
      </c>
    </row>
    <row r="18" spans="1:11" x14ac:dyDescent="0.35">
      <c r="A18" s="32">
        <f t="shared" si="4"/>
        <v>17</v>
      </c>
      <c r="B18" s="32" t="s">
        <v>5</v>
      </c>
      <c r="C18" s="6" t="s">
        <v>10</v>
      </c>
      <c r="D18" s="9">
        <v>45851</v>
      </c>
      <c r="E18" s="5">
        <v>1200000</v>
      </c>
      <c r="F18" s="7">
        <v>45876</v>
      </c>
      <c r="G18" s="7"/>
      <c r="H18" s="6" t="str">
        <f t="shared" si="0"/>
        <v>C002-2025-07-13</v>
      </c>
      <c r="I18" s="6" t="str">
        <f t="shared" si="1"/>
        <v>Ok</v>
      </c>
      <c r="J18" s="6" t="str">
        <f t="shared" si="2"/>
        <v>OK</v>
      </c>
      <c r="K18" s="6" t="str">
        <f t="shared" si="3"/>
        <v>OK</v>
      </c>
    </row>
    <row r="19" spans="1:11" x14ac:dyDescent="0.35">
      <c r="A19" s="32">
        <f t="shared" si="4"/>
        <v>18</v>
      </c>
      <c r="B19" s="32" t="s">
        <v>5</v>
      </c>
      <c r="C19" s="6" t="s">
        <v>10</v>
      </c>
      <c r="D19" s="9">
        <v>45909</v>
      </c>
      <c r="E19" s="5">
        <v>120000</v>
      </c>
      <c r="F19" s="7">
        <v>45975</v>
      </c>
      <c r="G19" s="7"/>
      <c r="H19" s="6" t="str">
        <f t="shared" si="0"/>
        <v>C002-2025-09-09</v>
      </c>
      <c r="I19" s="6" t="str">
        <f t="shared" si="1"/>
        <v>Ok</v>
      </c>
      <c r="J19" s="6" t="str">
        <f t="shared" si="2"/>
        <v>OK</v>
      </c>
      <c r="K19" s="6" t="str">
        <f t="shared" si="3"/>
        <v>OK</v>
      </c>
    </row>
    <row r="20" spans="1:11" x14ac:dyDescent="0.35">
      <c r="A20" s="32">
        <f t="shared" si="4"/>
        <v>19</v>
      </c>
      <c r="B20" s="32" t="s">
        <v>5</v>
      </c>
      <c r="C20" s="8" t="s">
        <v>10</v>
      </c>
      <c r="D20" s="7">
        <v>45891</v>
      </c>
      <c r="E20" s="8">
        <v>1200000</v>
      </c>
      <c r="F20" s="7">
        <v>45922</v>
      </c>
      <c r="G20" s="7"/>
      <c r="H20" s="8" t="str">
        <f t="shared" si="0"/>
        <v>C002-2025-08-22</v>
      </c>
      <c r="I20" s="6" t="str">
        <f t="shared" si="1"/>
        <v>Ok</v>
      </c>
      <c r="J20" s="6" t="str">
        <f t="shared" si="2"/>
        <v>OK</v>
      </c>
      <c r="K20" s="8" t="str">
        <f t="shared" si="3"/>
        <v>OK</v>
      </c>
    </row>
    <row r="21" spans="1:11" x14ac:dyDescent="0.35">
      <c r="A21" s="32">
        <f t="shared" si="4"/>
        <v>20</v>
      </c>
      <c r="B21" s="32" t="s">
        <v>5</v>
      </c>
      <c r="C21" s="8" t="s">
        <v>10</v>
      </c>
      <c r="D21" s="7">
        <v>45786</v>
      </c>
      <c r="E21" s="8">
        <v>120000</v>
      </c>
      <c r="F21" s="7">
        <v>45974</v>
      </c>
      <c r="G21" s="8"/>
      <c r="H21" s="8" t="str">
        <f t="shared" si="0"/>
        <v>C002-2025-05-09</v>
      </c>
      <c r="I21" s="6" t="str">
        <f t="shared" si="1"/>
        <v>Ok</v>
      </c>
      <c r="J21" s="6" t="str">
        <f t="shared" si="2"/>
        <v>OK</v>
      </c>
      <c r="K21" s="8" t="str">
        <f t="shared" si="3"/>
        <v>OK</v>
      </c>
    </row>
    <row r="22" spans="1:11" x14ac:dyDescent="0.35">
      <c r="A22" s="32">
        <f t="shared" si="4"/>
        <v>21</v>
      </c>
      <c r="B22" s="32" t="s">
        <v>8</v>
      </c>
      <c r="C22" s="6" t="s">
        <v>13</v>
      </c>
      <c r="D22" s="7">
        <v>45828</v>
      </c>
      <c r="E22" s="8">
        <v>50000</v>
      </c>
      <c r="F22" s="7">
        <v>45921</v>
      </c>
      <c r="G22" s="7"/>
      <c r="H22" s="6" t="str">
        <f t="shared" si="0"/>
        <v>C003-2025-06-20</v>
      </c>
      <c r="I22" s="6" t="str">
        <f t="shared" si="1"/>
        <v>Ok</v>
      </c>
      <c r="J22" s="6" t="str">
        <f t="shared" si="2"/>
        <v>OK</v>
      </c>
      <c r="K22" s="6" t="str">
        <f t="shared" si="3"/>
        <v>OK</v>
      </c>
    </row>
    <row r="23" spans="1:11" x14ac:dyDescent="0.35">
      <c r="A23" s="32">
        <f t="shared" si="4"/>
        <v>22</v>
      </c>
      <c r="B23" s="32" t="s">
        <v>8</v>
      </c>
      <c r="C23" s="6" t="s">
        <v>13</v>
      </c>
      <c r="D23" s="7">
        <v>45691</v>
      </c>
      <c r="E23" s="8">
        <v>100000</v>
      </c>
      <c r="F23" s="7">
        <v>45973</v>
      </c>
      <c r="G23" s="7"/>
      <c r="H23" s="6" t="str">
        <f t="shared" si="0"/>
        <v>C003-2025-02-03</v>
      </c>
      <c r="I23" s="6" t="str">
        <f t="shared" si="1"/>
        <v>Ok</v>
      </c>
      <c r="J23" s="6" t="str">
        <f t="shared" si="2"/>
        <v>OK</v>
      </c>
      <c r="K23" s="6" t="str">
        <f t="shared" si="3"/>
        <v>OK</v>
      </c>
    </row>
    <row r="24" spans="1:11" x14ac:dyDescent="0.35">
      <c r="A24" s="32">
        <f t="shared" si="4"/>
        <v>23</v>
      </c>
      <c r="B24" s="32" t="s">
        <v>8</v>
      </c>
      <c r="C24" s="6" t="s">
        <v>13</v>
      </c>
      <c r="D24" s="7">
        <v>45718</v>
      </c>
      <c r="E24" s="8">
        <v>1000000</v>
      </c>
      <c r="F24" s="7">
        <v>45841</v>
      </c>
      <c r="G24" s="7"/>
      <c r="H24" s="6" t="str">
        <f t="shared" si="0"/>
        <v>C003-2025-03-02</v>
      </c>
      <c r="I24" s="6" t="str">
        <f t="shared" si="1"/>
        <v>Ok</v>
      </c>
      <c r="J24" s="6" t="str">
        <f t="shared" si="2"/>
        <v>OK</v>
      </c>
      <c r="K24" s="6" t="str">
        <f t="shared" si="3"/>
        <v>OK</v>
      </c>
    </row>
    <row r="25" spans="1:11" x14ac:dyDescent="0.35">
      <c r="A25" s="32">
        <f t="shared" si="4"/>
        <v>24</v>
      </c>
      <c r="B25" s="32" t="s">
        <v>8</v>
      </c>
      <c r="C25" s="6" t="s">
        <v>13</v>
      </c>
      <c r="D25" s="7">
        <v>45697</v>
      </c>
      <c r="E25" s="8">
        <v>700000</v>
      </c>
      <c r="F25" s="7">
        <v>45826</v>
      </c>
      <c r="G25" s="7"/>
      <c r="H25" s="6" t="str">
        <f t="shared" si="0"/>
        <v>C003-2025-02-09</v>
      </c>
      <c r="I25" s="6" t="str">
        <f t="shared" si="1"/>
        <v>Ok</v>
      </c>
      <c r="J25" s="6" t="str">
        <f t="shared" si="2"/>
        <v>OK</v>
      </c>
      <c r="K25" s="6" t="str">
        <f t="shared" si="3"/>
        <v>OK</v>
      </c>
    </row>
    <row r="26" spans="1:11" x14ac:dyDescent="0.35">
      <c r="A26" s="32">
        <f t="shared" si="4"/>
        <v>25</v>
      </c>
      <c r="B26" s="32" t="s">
        <v>8</v>
      </c>
      <c r="C26" s="6" t="s">
        <v>13</v>
      </c>
      <c r="D26" s="9">
        <v>45795</v>
      </c>
      <c r="E26" s="5">
        <v>10000</v>
      </c>
      <c r="F26" s="7"/>
      <c r="G26" s="7"/>
      <c r="H26" s="6" t="str">
        <f t="shared" si="0"/>
        <v>C003-2025-05-18</v>
      </c>
      <c r="I26" s="6" t="str">
        <f t="shared" si="1"/>
        <v>Ok</v>
      </c>
      <c r="J26" s="6" t="str">
        <f t="shared" si="2"/>
        <v>OK</v>
      </c>
      <c r="K26" s="6" t="str">
        <f t="shared" si="3"/>
        <v>Inconsistent</v>
      </c>
    </row>
    <row r="27" spans="1:11" x14ac:dyDescent="0.35">
      <c r="A27" s="32">
        <f t="shared" si="4"/>
        <v>26</v>
      </c>
      <c r="B27" s="32" t="s">
        <v>8</v>
      </c>
      <c r="C27" s="6" t="s">
        <v>13</v>
      </c>
      <c r="D27" s="9">
        <v>45947</v>
      </c>
      <c r="E27" s="5">
        <v>1000000</v>
      </c>
      <c r="F27" s="7">
        <v>45986</v>
      </c>
      <c r="G27" s="7"/>
      <c r="H27" s="6" t="str">
        <f t="shared" si="0"/>
        <v>C003-2025-10-17</v>
      </c>
      <c r="I27" s="6" t="str">
        <f t="shared" si="1"/>
        <v>Ok</v>
      </c>
      <c r="J27" s="6" t="str">
        <f t="shared" si="2"/>
        <v>OK</v>
      </c>
      <c r="K27" s="6" t="str">
        <f t="shared" si="3"/>
        <v>OK</v>
      </c>
    </row>
    <row r="28" spans="1:11" x14ac:dyDescent="0.35">
      <c r="A28" s="32">
        <f t="shared" si="4"/>
        <v>27</v>
      </c>
      <c r="B28" s="32" t="s">
        <v>8</v>
      </c>
      <c r="C28" s="6" t="s">
        <v>13</v>
      </c>
      <c r="D28" s="9">
        <v>45843</v>
      </c>
      <c r="E28" s="5">
        <v>700000</v>
      </c>
      <c r="F28" s="7">
        <v>45874</v>
      </c>
      <c r="G28" s="7"/>
      <c r="H28" s="6" t="str">
        <f t="shared" si="0"/>
        <v>C003-2025-07-05</v>
      </c>
      <c r="I28" s="6" t="str">
        <f t="shared" si="1"/>
        <v>Ok</v>
      </c>
      <c r="J28" s="6" t="str">
        <f t="shared" si="2"/>
        <v>OK</v>
      </c>
      <c r="K28" s="6" t="str">
        <f t="shared" si="3"/>
        <v>OK</v>
      </c>
    </row>
    <row r="29" spans="1:11" x14ac:dyDescent="0.35">
      <c r="A29" s="32">
        <f t="shared" si="4"/>
        <v>28</v>
      </c>
      <c r="B29" s="32" t="s">
        <v>8</v>
      </c>
      <c r="C29" s="6" t="s">
        <v>13</v>
      </c>
      <c r="D29" s="9">
        <v>45882</v>
      </c>
      <c r="E29" s="5">
        <v>1000000</v>
      </c>
      <c r="F29" s="7">
        <v>45914</v>
      </c>
      <c r="G29" s="7"/>
      <c r="H29" s="6" t="str">
        <f t="shared" si="0"/>
        <v>C003-2025-08-13</v>
      </c>
      <c r="I29" s="6" t="str">
        <f t="shared" si="1"/>
        <v>Ok</v>
      </c>
      <c r="J29" s="6" t="str">
        <f t="shared" si="2"/>
        <v>OK</v>
      </c>
      <c r="K29" s="6" t="str">
        <f t="shared" si="3"/>
        <v>OK</v>
      </c>
    </row>
    <row r="30" spans="1:11" x14ac:dyDescent="0.35">
      <c r="A30" s="32">
        <f t="shared" si="4"/>
        <v>29</v>
      </c>
      <c r="B30" s="32" t="s">
        <v>8</v>
      </c>
      <c r="C30" s="6" t="s">
        <v>12</v>
      </c>
      <c r="D30" s="9">
        <v>45770</v>
      </c>
      <c r="E30" s="5">
        <v>1000000</v>
      </c>
      <c r="F30" s="7">
        <v>45955</v>
      </c>
      <c r="G30" s="36" t="s">
        <v>32</v>
      </c>
      <c r="H30" s="6" t="str">
        <f t="shared" si="0"/>
        <v>C003-2025-04-23</v>
      </c>
      <c r="I30" s="6" t="str">
        <f t="shared" si="1"/>
        <v>Ok</v>
      </c>
      <c r="J30" s="6" t="str">
        <f t="shared" si="2"/>
        <v>Mismatch</v>
      </c>
      <c r="K30" s="6" t="str">
        <f t="shared" si="3"/>
        <v>OK</v>
      </c>
    </row>
    <row r="31" spans="1:11" x14ac:dyDescent="0.35">
      <c r="A31" s="32">
        <f t="shared" si="4"/>
        <v>30</v>
      </c>
      <c r="B31" s="32" t="s">
        <v>8</v>
      </c>
      <c r="C31" s="6" t="s">
        <v>13</v>
      </c>
      <c r="D31" s="9">
        <v>45965</v>
      </c>
      <c r="E31" s="5">
        <v>700000</v>
      </c>
      <c r="F31" s="7">
        <v>45979</v>
      </c>
      <c r="G31" s="7"/>
      <c r="H31" s="6" t="str">
        <f t="shared" si="0"/>
        <v>C003-2025-11-04</v>
      </c>
      <c r="I31" s="6" t="str">
        <f t="shared" si="1"/>
        <v>Ok</v>
      </c>
      <c r="J31" s="6" t="str">
        <f t="shared" si="2"/>
        <v>OK</v>
      </c>
      <c r="K31" s="6" t="str">
        <f t="shared" si="3"/>
        <v>OK</v>
      </c>
    </row>
    <row r="32" spans="1:11" x14ac:dyDescent="0.35">
      <c r="A32" s="32">
        <f t="shared" si="4"/>
        <v>31</v>
      </c>
      <c r="B32" s="32" t="s">
        <v>8</v>
      </c>
      <c r="C32" s="6" t="s">
        <v>13</v>
      </c>
      <c r="D32" s="9">
        <v>45682</v>
      </c>
      <c r="E32" s="5">
        <v>1000000</v>
      </c>
      <c r="F32" s="7">
        <v>45926</v>
      </c>
      <c r="G32" s="7"/>
      <c r="H32" s="6" t="str">
        <f t="shared" si="0"/>
        <v>C003-2025-01-25</v>
      </c>
      <c r="I32" s="6" t="str">
        <f t="shared" si="1"/>
        <v>Ok</v>
      </c>
      <c r="J32" s="6" t="str">
        <f t="shared" si="2"/>
        <v>OK</v>
      </c>
      <c r="K32" s="6" t="str">
        <f t="shared" si="3"/>
        <v>OK</v>
      </c>
    </row>
    <row r="33" spans="1:11" x14ac:dyDescent="0.35">
      <c r="A33" s="32">
        <f t="shared" si="4"/>
        <v>32</v>
      </c>
      <c r="B33" s="32" t="s">
        <v>8</v>
      </c>
      <c r="C33" s="8" t="s">
        <v>13</v>
      </c>
      <c r="D33" s="7">
        <v>45734</v>
      </c>
      <c r="E33" s="8">
        <v>1000000</v>
      </c>
      <c r="F33" s="8" t="s">
        <v>18</v>
      </c>
      <c r="G33" s="8"/>
      <c r="H33" s="8" t="str">
        <f t="shared" si="0"/>
        <v>C003-2025-03-18</v>
      </c>
      <c r="I33" s="6" t="str">
        <f t="shared" si="1"/>
        <v>Ok</v>
      </c>
      <c r="J33" s="6" t="str">
        <f t="shared" si="2"/>
        <v>OK</v>
      </c>
      <c r="K33" s="8" t="str">
        <f t="shared" si="3"/>
        <v>OK</v>
      </c>
    </row>
    <row r="34" spans="1:11" x14ac:dyDescent="0.35">
      <c r="A34" s="32">
        <f t="shared" si="4"/>
        <v>33</v>
      </c>
      <c r="B34" s="32" t="s">
        <v>8</v>
      </c>
      <c r="C34" s="8" t="s">
        <v>13</v>
      </c>
      <c r="D34" s="7">
        <v>45752</v>
      </c>
      <c r="E34" s="8">
        <v>700000</v>
      </c>
      <c r="F34" s="7">
        <v>45936</v>
      </c>
      <c r="G34" s="7"/>
      <c r="H34" s="8" t="str">
        <f t="shared" ref="H34:H53" si="5">$B34&amp;"-"&amp;TEXT( $D34,"yyyy-mm-dd")</f>
        <v>C003-2025-04-05</v>
      </c>
      <c r="I34" s="6" t="str">
        <f t="shared" ref="I34:I51" si="6">IF(COUNTIF($H$2:$H$52,H34)&gt;1, "Duplicate", "Ok")</f>
        <v>Ok</v>
      </c>
      <c r="J34" s="6" t="str">
        <f t="shared" ref="J34:J51" si="7">IF(C34 =VLOOKUP($B34,$B$2:$C$52,2,FALSE), "OK", "Mismatch")</f>
        <v>OK</v>
      </c>
      <c r="K34" s="8" t="str">
        <f t="shared" ref="K34:K53" si="8">IF(D34&gt;F34, "Inconsistent", "OK")</f>
        <v>OK</v>
      </c>
    </row>
    <row r="35" spans="1:11" x14ac:dyDescent="0.35">
      <c r="A35" s="32">
        <f t="shared" si="4"/>
        <v>34</v>
      </c>
      <c r="B35" s="32" t="s">
        <v>6</v>
      </c>
      <c r="C35" s="6" t="s">
        <v>11</v>
      </c>
      <c r="D35" s="7">
        <v>45916</v>
      </c>
      <c r="E35" s="8">
        <v>1200000</v>
      </c>
      <c r="F35" s="7">
        <v>45947</v>
      </c>
      <c r="G35" s="7"/>
      <c r="H35" s="6" t="str">
        <f t="shared" si="5"/>
        <v>C004-2025-09-16</v>
      </c>
      <c r="I35" s="6" t="str">
        <f t="shared" si="6"/>
        <v>Ok</v>
      </c>
      <c r="J35" s="6" t="str">
        <f t="shared" si="7"/>
        <v>OK</v>
      </c>
      <c r="K35" s="6" t="str">
        <f t="shared" si="8"/>
        <v>OK</v>
      </c>
    </row>
    <row r="36" spans="1:11" x14ac:dyDescent="0.35">
      <c r="A36" s="32">
        <f t="shared" si="4"/>
        <v>35</v>
      </c>
      <c r="B36" s="32" t="s">
        <v>6</v>
      </c>
      <c r="C36" s="6" t="s">
        <v>11</v>
      </c>
      <c r="D36" s="7">
        <v>45740</v>
      </c>
      <c r="E36" s="8">
        <v>1200000</v>
      </c>
      <c r="F36" s="7">
        <v>45986</v>
      </c>
      <c r="G36" s="36" t="s">
        <v>31</v>
      </c>
      <c r="H36" s="6" t="str">
        <f t="shared" si="5"/>
        <v>C004-2025-03-24</v>
      </c>
      <c r="I36" s="6" t="str">
        <f t="shared" si="6"/>
        <v>Ok</v>
      </c>
      <c r="J36" s="6" t="str">
        <f t="shared" si="7"/>
        <v>OK</v>
      </c>
      <c r="K36" s="6" t="str">
        <f t="shared" si="8"/>
        <v>OK</v>
      </c>
    </row>
    <row r="37" spans="1:11" x14ac:dyDescent="0.35">
      <c r="A37" s="32">
        <f t="shared" si="4"/>
        <v>36</v>
      </c>
      <c r="B37" s="32" t="s">
        <v>6</v>
      </c>
      <c r="C37" s="6" t="s">
        <v>11</v>
      </c>
      <c r="D37" s="7">
        <v>45692</v>
      </c>
      <c r="E37" s="8">
        <v>100000</v>
      </c>
      <c r="F37" s="7" t="s">
        <v>17</v>
      </c>
      <c r="G37" s="7"/>
      <c r="H37" s="6" t="str">
        <f t="shared" si="5"/>
        <v>C004-2025-02-04</v>
      </c>
      <c r="I37" s="6" t="str">
        <f t="shared" si="6"/>
        <v>Ok</v>
      </c>
      <c r="J37" s="6" t="str">
        <f t="shared" si="7"/>
        <v>OK</v>
      </c>
      <c r="K37" s="6" t="str">
        <f t="shared" si="8"/>
        <v>OK</v>
      </c>
    </row>
    <row r="38" spans="1:11" x14ac:dyDescent="0.35">
      <c r="A38" s="32">
        <f t="shared" si="4"/>
        <v>37</v>
      </c>
      <c r="B38" s="32" t="s">
        <v>7</v>
      </c>
      <c r="C38" s="6" t="s">
        <v>12</v>
      </c>
      <c r="D38" s="7">
        <v>45732</v>
      </c>
      <c r="E38" s="8">
        <v>50000</v>
      </c>
      <c r="F38" s="7">
        <v>45899</v>
      </c>
      <c r="G38" s="7"/>
      <c r="H38" s="6" t="str">
        <f t="shared" si="5"/>
        <v>C005-2025-03-16</v>
      </c>
      <c r="I38" s="6" t="str">
        <f t="shared" si="6"/>
        <v>Ok</v>
      </c>
      <c r="J38" s="6" t="str">
        <f t="shared" si="7"/>
        <v>OK</v>
      </c>
      <c r="K38" s="6" t="str">
        <f t="shared" si="8"/>
        <v>OK</v>
      </c>
    </row>
    <row r="39" spans="1:11" x14ac:dyDescent="0.35">
      <c r="A39" s="32">
        <f t="shared" si="4"/>
        <v>38</v>
      </c>
      <c r="B39" s="32" t="s">
        <v>7</v>
      </c>
      <c r="C39" s="6" t="s">
        <v>12</v>
      </c>
      <c r="D39" s="7">
        <v>45754</v>
      </c>
      <c r="E39" s="8">
        <v>100000</v>
      </c>
      <c r="F39" s="7">
        <v>45984</v>
      </c>
      <c r="G39" s="7"/>
      <c r="H39" s="6" t="str">
        <f t="shared" si="5"/>
        <v>C005-2025-04-07</v>
      </c>
      <c r="I39" s="6" t="str">
        <f t="shared" si="6"/>
        <v>Ok</v>
      </c>
      <c r="J39" s="6" t="str">
        <f t="shared" si="7"/>
        <v>OK</v>
      </c>
      <c r="K39" s="6" t="str">
        <f t="shared" si="8"/>
        <v>OK</v>
      </c>
    </row>
    <row r="40" spans="1:11" x14ac:dyDescent="0.35">
      <c r="A40" s="32">
        <f t="shared" si="4"/>
        <v>39</v>
      </c>
      <c r="B40" s="32" t="s">
        <v>7</v>
      </c>
      <c r="C40" s="6" t="s">
        <v>12</v>
      </c>
      <c r="D40" s="7">
        <v>45905</v>
      </c>
      <c r="E40" s="8">
        <v>100000</v>
      </c>
      <c r="F40" s="7">
        <v>45905</v>
      </c>
      <c r="G40" s="7"/>
      <c r="H40" s="6" t="str">
        <f t="shared" si="5"/>
        <v>C005-2025-09-05</v>
      </c>
      <c r="I40" s="6" t="str">
        <f t="shared" si="6"/>
        <v>Duplicate</v>
      </c>
      <c r="J40" s="6" t="str">
        <f t="shared" si="7"/>
        <v>OK</v>
      </c>
      <c r="K40" s="6" t="str">
        <f t="shared" si="8"/>
        <v>OK</v>
      </c>
    </row>
    <row r="41" spans="1:11" x14ac:dyDescent="0.35">
      <c r="A41" s="32">
        <f t="shared" si="4"/>
        <v>40</v>
      </c>
      <c r="B41" s="32" t="s">
        <v>7</v>
      </c>
      <c r="C41" s="6" t="s">
        <v>12</v>
      </c>
      <c r="D41" s="7">
        <v>45905</v>
      </c>
      <c r="E41" s="8">
        <v>500000</v>
      </c>
      <c r="F41" s="7" t="s">
        <v>20</v>
      </c>
      <c r="G41" s="7"/>
      <c r="H41" s="6" t="str">
        <f t="shared" si="5"/>
        <v>C005-2025-09-05</v>
      </c>
      <c r="I41" s="6" t="str">
        <f t="shared" si="6"/>
        <v>Duplicate</v>
      </c>
      <c r="J41" s="6" t="str">
        <f t="shared" si="7"/>
        <v>OK</v>
      </c>
      <c r="K41" s="6" t="str">
        <f t="shared" si="8"/>
        <v>OK</v>
      </c>
    </row>
    <row r="42" spans="1:11" x14ac:dyDescent="0.35">
      <c r="A42" s="32">
        <f t="shared" si="4"/>
        <v>41</v>
      </c>
      <c r="B42" s="32" t="s">
        <v>7</v>
      </c>
      <c r="C42" s="6" t="s">
        <v>12</v>
      </c>
      <c r="D42" s="9" t="s">
        <v>18</v>
      </c>
      <c r="E42" s="5">
        <v>500000</v>
      </c>
      <c r="F42" s="7"/>
      <c r="G42" s="36" t="s">
        <v>31</v>
      </c>
      <c r="H42" s="6" t="str">
        <f t="shared" si="5"/>
        <v>C005-2025-09-24</v>
      </c>
      <c r="I42" s="6" t="str">
        <f t="shared" si="6"/>
        <v>Ok</v>
      </c>
      <c r="J42" s="6" t="str">
        <f t="shared" si="7"/>
        <v>OK</v>
      </c>
      <c r="K42" s="6" t="str">
        <f t="shared" si="8"/>
        <v>Inconsistent</v>
      </c>
    </row>
    <row r="43" spans="1:11" x14ac:dyDescent="0.35">
      <c r="A43" s="32">
        <f t="shared" si="4"/>
        <v>42</v>
      </c>
      <c r="B43" s="32" t="s">
        <v>7</v>
      </c>
      <c r="C43" s="6" t="s">
        <v>12</v>
      </c>
      <c r="D43" s="9">
        <v>45750</v>
      </c>
      <c r="E43" s="5">
        <v>1000000</v>
      </c>
      <c r="F43" s="7">
        <v>45933</v>
      </c>
      <c r="G43" s="7"/>
      <c r="H43" s="6" t="str">
        <f t="shared" si="5"/>
        <v>C005-2025-04-03</v>
      </c>
      <c r="I43" s="6" t="str">
        <f t="shared" si="6"/>
        <v>Ok</v>
      </c>
      <c r="J43" s="6" t="str">
        <f t="shared" si="7"/>
        <v>OK</v>
      </c>
      <c r="K43" s="6" t="str">
        <f t="shared" si="8"/>
        <v>OK</v>
      </c>
    </row>
    <row r="44" spans="1:11" x14ac:dyDescent="0.35">
      <c r="A44" s="32">
        <f t="shared" si="4"/>
        <v>43</v>
      </c>
      <c r="B44" s="32" t="s">
        <v>7</v>
      </c>
      <c r="C44" s="6" t="s">
        <v>12</v>
      </c>
      <c r="D44" s="7">
        <v>45880</v>
      </c>
      <c r="E44" s="8">
        <v>1200000</v>
      </c>
      <c r="F44" s="7">
        <v>45890</v>
      </c>
      <c r="G44" s="7"/>
      <c r="H44" s="6" t="str">
        <f t="shared" si="5"/>
        <v>C005-2025-08-11</v>
      </c>
      <c r="I44" s="6" t="str">
        <f t="shared" si="6"/>
        <v>Ok</v>
      </c>
      <c r="J44" s="6" t="str">
        <f t="shared" si="7"/>
        <v>OK</v>
      </c>
      <c r="K44" s="6" t="str">
        <f t="shared" si="8"/>
        <v>OK</v>
      </c>
    </row>
    <row r="45" spans="1:11" x14ac:dyDescent="0.35">
      <c r="A45" s="32">
        <f t="shared" si="4"/>
        <v>44</v>
      </c>
      <c r="B45" s="32" t="s">
        <v>7</v>
      </c>
      <c r="C45" s="6" t="s">
        <v>12</v>
      </c>
      <c r="D45" s="9">
        <v>45713</v>
      </c>
      <c r="E45" s="5">
        <v>500000</v>
      </c>
      <c r="F45" s="7">
        <v>45956</v>
      </c>
      <c r="G45" s="7"/>
      <c r="H45" s="6" t="str">
        <f t="shared" si="5"/>
        <v>C005-2025-02-25</v>
      </c>
      <c r="I45" s="6" t="str">
        <f t="shared" si="6"/>
        <v>Ok</v>
      </c>
      <c r="J45" s="6" t="str">
        <f t="shared" si="7"/>
        <v>OK</v>
      </c>
      <c r="K45" s="6" t="str">
        <f t="shared" si="8"/>
        <v>OK</v>
      </c>
    </row>
    <row r="46" spans="1:11" x14ac:dyDescent="0.35">
      <c r="A46" s="32">
        <f t="shared" si="4"/>
        <v>45</v>
      </c>
      <c r="B46" s="32" t="s">
        <v>7</v>
      </c>
      <c r="C46" s="6" t="s">
        <v>12</v>
      </c>
      <c r="D46" s="7">
        <v>45923</v>
      </c>
      <c r="E46" s="8">
        <v>70000</v>
      </c>
      <c r="F46" s="7"/>
      <c r="G46" s="7"/>
      <c r="H46" s="6" t="str">
        <f t="shared" si="5"/>
        <v>C005-2025-09-23</v>
      </c>
      <c r="I46" s="6" t="str">
        <f t="shared" si="6"/>
        <v>Ok</v>
      </c>
      <c r="J46" s="6" t="str">
        <f t="shared" si="7"/>
        <v>OK</v>
      </c>
      <c r="K46" s="6" t="str">
        <f t="shared" si="8"/>
        <v>Inconsistent</v>
      </c>
    </row>
    <row r="47" spans="1:11" x14ac:dyDescent="0.35">
      <c r="A47" s="32">
        <f t="shared" si="4"/>
        <v>46</v>
      </c>
      <c r="B47" s="32" t="s">
        <v>7</v>
      </c>
      <c r="C47" s="6" t="s">
        <v>12</v>
      </c>
      <c r="D47" s="9">
        <v>45958</v>
      </c>
      <c r="E47" s="5">
        <v>1000000</v>
      </c>
      <c r="F47" s="7">
        <v>45989</v>
      </c>
      <c r="G47" s="7"/>
      <c r="H47" s="6" t="str">
        <f t="shared" si="5"/>
        <v>C005-2025-10-28</v>
      </c>
      <c r="I47" s="6" t="str">
        <f t="shared" si="6"/>
        <v>Ok</v>
      </c>
      <c r="J47" s="6" t="str">
        <f t="shared" si="7"/>
        <v>OK</v>
      </c>
      <c r="K47" s="6" t="str">
        <f t="shared" si="8"/>
        <v>OK</v>
      </c>
    </row>
    <row r="48" spans="1:11" x14ac:dyDescent="0.35">
      <c r="A48" s="32">
        <f t="shared" si="4"/>
        <v>47</v>
      </c>
      <c r="B48" s="32" t="s">
        <v>7</v>
      </c>
      <c r="C48" s="6" t="s">
        <v>12</v>
      </c>
      <c r="D48" s="7">
        <v>45882</v>
      </c>
      <c r="E48" s="8">
        <v>1200000</v>
      </c>
      <c r="F48" s="7">
        <v>45950</v>
      </c>
      <c r="G48" s="7"/>
      <c r="H48" s="6" t="str">
        <f t="shared" si="5"/>
        <v>C005-2025-08-13</v>
      </c>
      <c r="I48" s="6" t="str">
        <f t="shared" si="6"/>
        <v>Ok</v>
      </c>
      <c r="J48" s="6" t="str">
        <f t="shared" si="7"/>
        <v>OK</v>
      </c>
      <c r="K48" s="6" t="str">
        <f t="shared" si="8"/>
        <v>OK</v>
      </c>
    </row>
    <row r="49" spans="1:11" x14ac:dyDescent="0.35">
      <c r="A49" s="32">
        <f t="shared" si="4"/>
        <v>48</v>
      </c>
      <c r="B49" s="32" t="s">
        <v>7</v>
      </c>
      <c r="C49" s="8" t="s">
        <v>12</v>
      </c>
      <c r="D49" s="7">
        <v>45740</v>
      </c>
      <c r="E49" s="8">
        <v>500000</v>
      </c>
      <c r="F49" s="7">
        <v>45925</v>
      </c>
      <c r="G49" s="8"/>
      <c r="H49" s="8" t="str">
        <f t="shared" si="5"/>
        <v>C005-2025-03-24</v>
      </c>
      <c r="I49" s="6" t="str">
        <f t="shared" si="6"/>
        <v>Ok</v>
      </c>
      <c r="J49" s="6" t="str">
        <f t="shared" si="7"/>
        <v>OK</v>
      </c>
      <c r="K49" s="8" t="str">
        <f t="shared" si="8"/>
        <v>OK</v>
      </c>
    </row>
    <row r="50" spans="1:11" x14ac:dyDescent="0.35">
      <c r="A50" s="32">
        <f t="shared" si="4"/>
        <v>49</v>
      </c>
      <c r="B50" s="32" t="s">
        <v>7</v>
      </c>
      <c r="C50" s="8" t="s">
        <v>12</v>
      </c>
      <c r="D50" s="7">
        <v>45862</v>
      </c>
      <c r="E50" s="8">
        <v>500000</v>
      </c>
      <c r="F50" s="7">
        <v>45954</v>
      </c>
      <c r="G50" s="8"/>
      <c r="H50" s="8" t="str">
        <f t="shared" si="5"/>
        <v>C005-2025-07-24</v>
      </c>
      <c r="I50" s="6" t="str">
        <f t="shared" si="6"/>
        <v>Ok</v>
      </c>
      <c r="J50" s="6" t="str">
        <f t="shared" si="7"/>
        <v>OK</v>
      </c>
      <c r="K50" s="8" t="str">
        <f t="shared" si="8"/>
        <v>OK</v>
      </c>
    </row>
    <row r="51" spans="1:11" x14ac:dyDescent="0.35">
      <c r="A51" s="32">
        <f t="shared" si="4"/>
        <v>50</v>
      </c>
      <c r="B51" s="32" t="s">
        <v>7</v>
      </c>
      <c r="C51" s="8" t="s">
        <v>12</v>
      </c>
      <c r="D51" s="7">
        <v>45840</v>
      </c>
      <c r="E51" s="8">
        <v>1000000</v>
      </c>
      <c r="F51" s="7">
        <v>45988</v>
      </c>
      <c r="G51" s="8"/>
      <c r="H51" s="8" t="str">
        <f t="shared" si="5"/>
        <v>C005-2025-07-02</v>
      </c>
      <c r="I51" s="6" t="str">
        <f t="shared" si="6"/>
        <v>Ok</v>
      </c>
      <c r="J51" s="6" t="str">
        <f t="shared" si="7"/>
        <v>OK</v>
      </c>
      <c r="K51" s="8" t="str">
        <f t="shared" si="8"/>
        <v>OK</v>
      </c>
    </row>
    <row r="52" spans="1:11" x14ac:dyDescent="0.35">
      <c r="A52" s="32">
        <f t="shared" si="4"/>
        <v>51</v>
      </c>
      <c r="B52" s="32" t="s">
        <v>7</v>
      </c>
      <c r="C52" s="8" t="s">
        <v>12</v>
      </c>
      <c r="D52" s="7">
        <v>45821</v>
      </c>
      <c r="E52" s="8">
        <v>1200000</v>
      </c>
      <c r="F52" s="8" t="s">
        <v>15</v>
      </c>
      <c r="G52" s="8"/>
      <c r="H52" s="8" t="str">
        <f t="shared" si="5"/>
        <v>C005-2025-06-13</v>
      </c>
      <c r="I52" s="6" t="str">
        <f>IF(COUNTIF($H$2:$H$53,H52)&gt;1, "Duplicate", "Ok")</f>
        <v>Ok</v>
      </c>
      <c r="J52" s="6" t="str">
        <f>IF(C52 =VLOOKUP($B52,$B$2:$C$53,2,FALSE), "OK", "Mismatch")</f>
        <v>OK</v>
      </c>
      <c r="K52" s="8" t="str">
        <f t="shared" si="8"/>
        <v>OK</v>
      </c>
    </row>
    <row r="53" spans="1:11" x14ac:dyDescent="0.35">
      <c r="A53" s="32">
        <f t="shared" si="4"/>
        <v>52</v>
      </c>
      <c r="B53" s="32" t="s">
        <v>33</v>
      </c>
      <c r="C53" s="6" t="s">
        <v>34</v>
      </c>
      <c r="D53" s="9">
        <v>45901</v>
      </c>
      <c r="E53" s="5">
        <v>1500000</v>
      </c>
      <c r="F53" s="7">
        <v>45901</v>
      </c>
      <c r="G53" s="8"/>
      <c r="H53" s="8" t="str">
        <f t="shared" si="5"/>
        <v>C999-2025-09-01</v>
      </c>
      <c r="I53" s="6" t="str">
        <f>IF(COUNTIF($H$2:$H$53,H53)&gt;1, "Duplicate", "Ok")</f>
        <v>Ok</v>
      </c>
      <c r="J53" s="6" t="str">
        <f>IF(C53 =VLOOKUP($B53,$B$2:$C$53,2,FALSE), "OK", "Mismatch")</f>
        <v>OK</v>
      </c>
      <c r="K53" s="8" t="str">
        <f t="shared" si="8"/>
        <v>OK</v>
      </c>
    </row>
  </sheetData>
  <sortState xmlns:xlrd2="http://schemas.microsoft.com/office/spreadsheetml/2017/richdata2" ref="A2:K52">
    <sortCondition ref="B2:B52"/>
  </sortState>
  <phoneticPr fontId="7" type="noConversion"/>
  <conditionalFormatting sqref="J1:K1 I1:I53">
    <cfRule type="containsText" dxfId="115" priority="7" operator="containsText" text="Duplicate">
      <formula>NOT(ISERROR(SEARCH("Duplicate",I1)))</formula>
    </cfRule>
    <cfRule type="expression" dxfId="114" priority="8">
      <formula>"""Duplicate"""</formula>
    </cfRule>
  </conditionalFormatting>
  <conditionalFormatting sqref="E2:E42">
    <cfRule type="cellIs" dxfId="113" priority="9" operator="greaterThan">
      <formula>2000000</formula>
    </cfRule>
    <cfRule type="cellIs" dxfId="112" priority="10" operator="lessThan">
      <formula>100000</formula>
    </cfRule>
  </conditionalFormatting>
  <conditionalFormatting sqref="K1 J1:J53">
    <cfRule type="cellIs" dxfId="111" priority="6" operator="equal">
      <formula>"Mismatch"</formula>
    </cfRule>
  </conditionalFormatting>
  <conditionalFormatting sqref="K1:K42">
    <cfRule type="cellIs" dxfId="110" priority="5" operator="equal">
      <formula>"Inconsistent"</formula>
    </cfRule>
  </conditionalFormatting>
  <conditionalFormatting sqref="K43:K53">
    <cfRule type="cellIs" dxfId="109" priority="1" operator="equal">
      <formula>"Inconsistent"</formula>
    </cfRule>
  </conditionalFormatting>
  <pageMargins left="0.7" right="0.7" top="0.75" bottom="0.75" header="0.3" footer="0.3"/>
  <pageSetup paperSize="9" orientation="portrait" horizontalDpi="200" verticalDpi="200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2AA2-C577-47C9-BB26-FA5CD011794B}">
  <dimension ref="A1:S53"/>
  <sheetViews>
    <sheetView topLeftCell="H1" zoomScale="80" zoomScaleNormal="80" workbookViewId="0">
      <pane ySplit="1" topLeftCell="A2" activePane="bottomLeft" state="frozen"/>
      <selection activeCell="H1" sqref="H1"/>
      <selection pane="bottomLeft" activeCell="K7" sqref="K7"/>
    </sheetView>
  </sheetViews>
  <sheetFormatPr defaultRowHeight="14.5" x14ac:dyDescent="0.35"/>
  <cols>
    <col min="1" max="2" width="12.81640625" style="55" customWidth="1"/>
    <col min="3" max="3" width="15.90625" style="55" customWidth="1"/>
    <col min="4" max="4" width="12.7265625" style="56" customWidth="1"/>
    <col min="5" max="5" width="13.36328125" style="57" customWidth="1"/>
    <col min="6" max="7" width="14.26953125" style="56" customWidth="1"/>
    <col min="8" max="8" width="14.6328125" style="58" bestFit="1" customWidth="1"/>
    <col min="9" max="9" width="13.36328125" style="55" bestFit="1" customWidth="1"/>
    <col min="10" max="10" width="20.7265625" style="59" bestFit="1" customWidth="1"/>
    <col min="11" max="11" width="20.36328125" style="55" bestFit="1" customWidth="1"/>
    <col min="12" max="12" width="20.36328125" style="55" customWidth="1"/>
    <col min="13" max="13" width="19.08984375" style="55" bestFit="1" customWidth="1"/>
    <col min="14" max="14" width="18" style="55" bestFit="1" customWidth="1"/>
    <col min="15" max="15" width="19.6328125" style="55" bestFit="1" customWidth="1"/>
    <col min="16" max="16" width="19.6328125" style="55" customWidth="1"/>
    <col min="17" max="17" width="18.453125" style="55" bestFit="1" customWidth="1"/>
    <col min="18" max="18" width="28.26953125" style="59" bestFit="1" customWidth="1"/>
    <col min="19" max="19" width="30.26953125" style="59" bestFit="1" customWidth="1"/>
    <col min="20" max="16384" width="8.7265625" style="55"/>
  </cols>
  <sheetData>
    <row r="1" spans="1:19" x14ac:dyDescent="0.35">
      <c r="A1" s="16" t="s">
        <v>70</v>
      </c>
      <c r="B1" s="16" t="s">
        <v>0</v>
      </c>
      <c r="C1" s="16" t="s">
        <v>1</v>
      </c>
      <c r="D1" s="25" t="s">
        <v>2</v>
      </c>
      <c r="E1" s="20" t="s">
        <v>3</v>
      </c>
      <c r="F1" s="25" t="s">
        <v>4</v>
      </c>
      <c r="G1" s="25" t="s">
        <v>29</v>
      </c>
      <c r="H1" s="18" t="s">
        <v>78</v>
      </c>
      <c r="I1" s="17" t="s">
        <v>36</v>
      </c>
      <c r="J1" s="23" t="s">
        <v>133</v>
      </c>
      <c r="K1" s="17" t="s">
        <v>80</v>
      </c>
      <c r="L1" s="17" t="s">
        <v>101</v>
      </c>
      <c r="M1" s="17" t="s">
        <v>84</v>
      </c>
      <c r="N1" s="17" t="s">
        <v>85</v>
      </c>
      <c r="O1" s="17" t="s">
        <v>86</v>
      </c>
      <c r="P1" s="17" t="s">
        <v>92</v>
      </c>
      <c r="Q1" s="17" t="s">
        <v>91</v>
      </c>
      <c r="R1" s="23" t="s">
        <v>130</v>
      </c>
      <c r="S1" s="23" t="s">
        <v>131</v>
      </c>
    </row>
    <row r="2" spans="1:19" x14ac:dyDescent="0.35">
      <c r="A2" s="8">
        <f t="shared" ref="A2:A33" si="0">ROW()-1</f>
        <v>1</v>
      </c>
      <c r="B2" s="8" t="s">
        <v>9</v>
      </c>
      <c r="C2" s="8" t="s">
        <v>14</v>
      </c>
      <c r="D2" s="9">
        <v>45908</v>
      </c>
      <c r="E2" s="21">
        <v>100000</v>
      </c>
      <c r="F2" s="9">
        <v>45937</v>
      </c>
      <c r="G2" s="9"/>
      <c r="H2" s="19">
        <f>'5.Report_Info'!$A$2-'4.Cleaned_Data'!$F2</f>
        <v>56</v>
      </c>
      <c r="I2" s="8" t="str">
        <f>IF($H2&lt;=30,"0-30 days",IF($H2&lt;=60,"31-60 days", IF($H2&lt;=90, "61-90 days", "91+ days")))</f>
        <v>31-60 days</v>
      </c>
      <c r="J2" s="24" cm="1">
        <f t="array" ref="J2">TableReport[Report_Date]-TableCleaned[[#This Row],[PaymentDate]]</f>
        <v>56</v>
      </c>
      <c r="K2" s="22" t="str">
        <f>IF(AND(ISNUMBER(TableCleaned[[#This Row],[InvoiceDate]]),ISNUMBER(TableCleaned[[#This Row],[PaymentDate]])),"OK","Inconsistent")</f>
        <v>OK</v>
      </c>
      <c r="L2" s="22" t="str" cm="1">
        <f t="array" ref="L2">IF(ISNUMBER(TableCleaned[[#This Row],[InvoiceDate]]),IF(TableCleaned[[#This Row],[InvoiceDate]]&lt;(TableReport[Report_Date]-120),"Outdated","OK"),"Missing Date")</f>
        <v>OK</v>
      </c>
      <c r="M2" s="22" t="str">
        <f>TableCleaned[[#This Row],[CustomerID]]&amp; " - " &amp; TEXT(TableCleaned[[#This Row],[PaymentDate]],"yyy-mm-dd")</f>
        <v>C001 - 2025-10-07</v>
      </c>
      <c r="N2" s="22" t="str">
        <f>IF(COUNTIF(TableCleaned[Check_InvoiceDate],TableCleaned[[#This Row],[Check_InvoiceDate]])&gt;1, "Duplicate", "OK")</f>
        <v>OK</v>
      </c>
      <c r="O2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2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No Change</v>
      </c>
      <c r="Q2" s="22" t="str">
        <f>IF(TableCleaned[[#This Row],[ChangeNeeded]]="No Change", "No Change Needed",IF(COUNTIF(TableChangeLog[RowID],TableCleaned[[#This Row],[RowID]])&gt;0, "Logged", "Not Logged"))</f>
        <v>No Change Needed</v>
      </c>
      <c r="R2" s="19">
        <f>COUNTIFS(TableCleaned[[#This Row],[ChangeNeeded]],"Changed",TableCleaned[[#This Row],[ChangeLog_Status]], "Not Logged")</f>
        <v>0</v>
      </c>
      <c r="S2" s="19">
        <f>COUNTIFS(TableCleaned[[#This Row],[ChangeNeeded]],"No Changed",TableCleaned[[#This Row],[ChangeLog_Status]], "Logged")</f>
        <v>0</v>
      </c>
    </row>
    <row r="3" spans="1:19" x14ac:dyDescent="0.35">
      <c r="A3" s="8">
        <f t="shared" si="0"/>
        <v>2</v>
      </c>
      <c r="B3" s="8" t="s">
        <v>9</v>
      </c>
      <c r="C3" s="8" t="s">
        <v>14</v>
      </c>
      <c r="D3" s="9">
        <v>45814</v>
      </c>
      <c r="E3" s="21">
        <v>700000</v>
      </c>
      <c r="F3" s="9">
        <v>45898</v>
      </c>
      <c r="G3" s="9"/>
      <c r="H3" s="19">
        <f>'5.Report_Info'!$A$2-'4.Cleaned_Data'!$F3</f>
        <v>95</v>
      </c>
      <c r="I3" s="8" t="str">
        <f>IF($H3&lt;=30,"0-30 days",IF($H3&lt;=60,"31-60 days", IF($H3&lt;=90, "61-90 days", "91+ days")))</f>
        <v>91+ days</v>
      </c>
      <c r="J3" s="24" cm="1">
        <f t="array" ref="J3">TableReport[Report_Date]-TableCleaned[[#This Row],[PaymentDate]]</f>
        <v>95</v>
      </c>
      <c r="K3" s="22" t="str">
        <f>IF(AND(ISNUMBER(TableCleaned[[#This Row],[InvoiceDate]]),ISNUMBER(TableCleaned[[#This Row],[PaymentDate]])),"OK","Inconsistent")</f>
        <v>OK</v>
      </c>
      <c r="L3" s="22" t="str" cm="1">
        <f t="array" ref="L3">IF(ISNUMBER(TableCleaned[[#This Row],[InvoiceDate]]),IF(TableCleaned[[#This Row],[InvoiceDate]]&lt;(TableReport[Report_Date]-120),"Outdated","OK"),"Missing Date")</f>
        <v>Outdated</v>
      </c>
      <c r="M3" s="22" t="str">
        <f>TableCleaned[[#This Row],[CustomerID]]&amp; " - " &amp; TEXT(TableCleaned[[#This Row],[PaymentDate]],"yyy-mm-dd")</f>
        <v>C001 - 2025-08-29</v>
      </c>
      <c r="N3" s="22" t="str">
        <f>IF(COUNTIF(TableCleaned[Check_InvoiceDate],TableCleaned[[#This Row],[Check_InvoiceDate]])&gt;1, "Duplicate", "OK")</f>
        <v>OK</v>
      </c>
      <c r="O3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3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3" s="22" t="str">
        <f>IF(TableCleaned[[#This Row],[ChangeNeeded]]="No Change", "No Change Needed",IF(COUNTIF(TableChangeLog[RowID],TableCleaned[[#This Row],[RowID]])&gt;0, "Logged", "Not Logged"))</f>
        <v>Not Logged</v>
      </c>
      <c r="R3" s="19">
        <f>COUNTIFS(TableCleaned[[#This Row],[ChangeNeeded]],"Changed",TableCleaned[[#This Row],[ChangeLog_Status]], "Not Logged")</f>
        <v>1</v>
      </c>
      <c r="S3" s="19">
        <f>COUNTIFS(TableCleaned[[#This Row],[ChangeNeeded]],"No Changed",TableCleaned[[#This Row],[ChangeLog_Status]], "Logged")</f>
        <v>0</v>
      </c>
    </row>
    <row r="4" spans="1:19" x14ac:dyDescent="0.35">
      <c r="A4" s="8">
        <f t="shared" si="0"/>
        <v>3</v>
      </c>
      <c r="B4" s="8" t="s">
        <v>9</v>
      </c>
      <c r="C4" s="8" t="s">
        <v>14</v>
      </c>
      <c r="D4" s="9">
        <v>45873</v>
      </c>
      <c r="E4" s="21">
        <v>1000000</v>
      </c>
      <c r="F4" s="9">
        <v>45966</v>
      </c>
      <c r="G4" s="9"/>
      <c r="H4" s="19">
        <f>'5.Report_Info'!$A$2-'4.Cleaned_Data'!$F4</f>
        <v>27</v>
      </c>
      <c r="I4" s="8" t="str">
        <f t="shared" ref="I4:I52" si="1">IF($H4&lt;=30,"0-30 days",IF($H4&lt;=60,"31-60 days", IF($H4&lt;=90, "61-90 days", "91+ days")))</f>
        <v>0-30 days</v>
      </c>
      <c r="J4" s="24" cm="1">
        <f t="array" ref="J4">TableReport[Report_Date]-TableCleaned[[#This Row],[PaymentDate]]</f>
        <v>27</v>
      </c>
      <c r="K4" s="22" t="str">
        <f>IF(AND(ISNUMBER(TableCleaned[[#This Row],[InvoiceDate]]),ISNUMBER(TableCleaned[[#This Row],[PaymentDate]])),"OK","Inconsistent")</f>
        <v>OK</v>
      </c>
      <c r="L4" s="22" t="str" cm="1">
        <f t="array" ref="L4">IF(ISNUMBER(TableCleaned[[#This Row],[InvoiceDate]]),IF(TableCleaned[[#This Row],[InvoiceDate]]&lt;(TableReport[Report_Date]-120),"Outdated","OK"),"Missing Date")</f>
        <v>OK</v>
      </c>
      <c r="M4" s="22" t="str">
        <f>TableCleaned[[#This Row],[CustomerID]]&amp; " - " &amp; TEXT(TableCleaned[[#This Row],[PaymentDate]],"yyy-mm-dd")</f>
        <v>C001 - 2025-11-05</v>
      </c>
      <c r="N4" s="22" t="str">
        <f>IF(COUNTIF(TableCleaned[Check_InvoiceDate],TableCleaned[[#This Row],[Check_InvoiceDate]])&gt;1, "Duplicate", "OK")</f>
        <v>OK</v>
      </c>
      <c r="O4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4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No Change</v>
      </c>
      <c r="Q4" s="22" t="str">
        <f>IF(TableCleaned[[#This Row],[ChangeNeeded]]="No Change", "No Change Needed",IF(COUNTIF(TableChangeLog[RowID],TableCleaned[[#This Row],[RowID]])&gt;0, "Logged", "Not Logged"))</f>
        <v>No Change Needed</v>
      </c>
      <c r="R4" s="19">
        <f>COUNTIFS(TableCleaned[[#This Row],[ChangeNeeded]],"Changed",TableCleaned[[#This Row],[ChangeLog_Status]], "Not Logged")</f>
        <v>0</v>
      </c>
      <c r="S4" s="19">
        <f>COUNTIFS(TableCleaned[[#This Row],[ChangeNeeded]],"No Changed",TableCleaned[[#This Row],[ChangeLog_Status]], "Logged")</f>
        <v>0</v>
      </c>
    </row>
    <row r="5" spans="1:19" x14ac:dyDescent="0.35">
      <c r="A5" s="8">
        <f t="shared" si="0"/>
        <v>4</v>
      </c>
      <c r="B5" s="8" t="s">
        <v>9</v>
      </c>
      <c r="C5" s="8" t="s">
        <v>14</v>
      </c>
      <c r="D5" s="9">
        <v>45674</v>
      </c>
      <c r="E5" s="21">
        <v>1200000</v>
      </c>
      <c r="F5" s="9">
        <v>45918</v>
      </c>
      <c r="G5" s="9"/>
      <c r="H5" s="19">
        <f>'5.Report_Info'!$A$2-'4.Cleaned_Data'!$F5</f>
        <v>75</v>
      </c>
      <c r="I5" s="8" t="str">
        <f t="shared" si="1"/>
        <v>61-90 days</v>
      </c>
      <c r="J5" s="24" cm="1">
        <f t="array" ref="J5">TableReport[Report_Date]-TableCleaned[[#This Row],[PaymentDate]]</f>
        <v>75</v>
      </c>
      <c r="K5" s="22" t="str">
        <f>IF(AND(ISNUMBER(TableCleaned[[#This Row],[InvoiceDate]]),ISNUMBER(TableCleaned[[#This Row],[PaymentDate]])),"OK","Inconsistent")</f>
        <v>OK</v>
      </c>
      <c r="L5" s="22" t="str" cm="1">
        <f t="array" ref="L5">IF(ISNUMBER(TableCleaned[[#This Row],[InvoiceDate]]),IF(TableCleaned[[#This Row],[InvoiceDate]]&lt;(TableReport[Report_Date]-120),"Outdated","OK"),"Missing Date")</f>
        <v>Outdated</v>
      </c>
      <c r="M5" s="22" t="str">
        <f>TableCleaned[[#This Row],[CustomerID]]&amp; " - " &amp; TEXT(TableCleaned[[#This Row],[PaymentDate]],"yyy-mm-dd")</f>
        <v>C001 - 2025-09-18</v>
      </c>
      <c r="N5" s="22" t="str">
        <f>IF(COUNTIF(TableCleaned[Check_InvoiceDate],TableCleaned[[#This Row],[Check_InvoiceDate]])&gt;1, "Duplicate", "OK")</f>
        <v>OK</v>
      </c>
      <c r="O5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5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5" s="22" t="str">
        <f>IF(TableCleaned[[#This Row],[ChangeNeeded]]="No Change", "No Change Needed",IF(COUNTIF(TableChangeLog[RowID],TableCleaned[[#This Row],[RowID]])&gt;0, "Logged", "Not Logged"))</f>
        <v>Not Logged</v>
      </c>
      <c r="R5" s="19">
        <f>COUNTIFS(TableCleaned[[#This Row],[ChangeNeeded]],"Changed",TableCleaned[[#This Row],[ChangeLog_Status]], "Not Logged")</f>
        <v>1</v>
      </c>
      <c r="S5" s="19">
        <f>COUNTIFS(TableCleaned[[#This Row],[ChangeNeeded]],"No Changed",TableCleaned[[#This Row],[ChangeLog_Status]], "Logged")</f>
        <v>0</v>
      </c>
    </row>
    <row r="6" spans="1:19" x14ac:dyDescent="0.35">
      <c r="A6" s="8">
        <f t="shared" si="0"/>
        <v>5</v>
      </c>
      <c r="B6" s="8" t="s">
        <v>9</v>
      </c>
      <c r="C6" s="8" t="s">
        <v>14</v>
      </c>
      <c r="D6" s="9">
        <v>45915</v>
      </c>
      <c r="E6" s="21">
        <v>100000</v>
      </c>
      <c r="F6" s="9">
        <v>45916</v>
      </c>
      <c r="G6" s="9"/>
      <c r="H6" s="19">
        <f>'5.Report_Info'!$A$2-'4.Cleaned_Data'!$F6</f>
        <v>77</v>
      </c>
      <c r="I6" s="8" t="str">
        <f t="shared" si="1"/>
        <v>61-90 days</v>
      </c>
      <c r="J6" s="24" cm="1">
        <f t="array" ref="J6">TableReport[Report_Date]-TableCleaned[[#This Row],[PaymentDate]]</f>
        <v>77</v>
      </c>
      <c r="K6" s="22" t="str">
        <f>IF(AND(ISNUMBER(TableCleaned[[#This Row],[InvoiceDate]]),ISNUMBER(TableCleaned[[#This Row],[PaymentDate]])),"OK","Inconsistent")</f>
        <v>OK</v>
      </c>
      <c r="L6" s="22" t="str" cm="1">
        <f t="array" ref="L6">IF(ISNUMBER(TableCleaned[[#This Row],[InvoiceDate]]),IF(TableCleaned[[#This Row],[InvoiceDate]]&lt;(TableReport[Report_Date]-120),"Outdated","OK"),"Missing Date")</f>
        <v>OK</v>
      </c>
      <c r="M6" s="22" t="str">
        <f>TableCleaned[[#This Row],[CustomerID]]&amp; " - " &amp; TEXT(TableCleaned[[#This Row],[PaymentDate]],"yyy-mm-dd")</f>
        <v>C001 - 2025-09-16</v>
      </c>
      <c r="N6" s="22" t="str">
        <f>IF(COUNTIF(TableCleaned[Check_InvoiceDate],TableCleaned[[#This Row],[Check_InvoiceDate]])&gt;1, "Duplicate", "OK")</f>
        <v>OK</v>
      </c>
      <c r="O6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6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No Change</v>
      </c>
      <c r="Q6" s="22" t="str">
        <f>IF(TableCleaned[[#This Row],[ChangeNeeded]]="No Change", "No Change Needed",IF(COUNTIF(TableChangeLog[RowID],TableCleaned[[#This Row],[RowID]])&gt;0, "Logged", "Not Logged"))</f>
        <v>No Change Needed</v>
      </c>
      <c r="R6" s="19">
        <f>COUNTIFS(TableCleaned[[#This Row],[ChangeNeeded]],"Changed",TableCleaned[[#This Row],[ChangeLog_Status]], "Not Logged")</f>
        <v>0</v>
      </c>
      <c r="S6" s="19">
        <f>COUNTIFS(TableCleaned[[#This Row],[ChangeNeeded]],"No Changed",TableCleaned[[#This Row],[ChangeLog_Status]], "Logged")</f>
        <v>0</v>
      </c>
    </row>
    <row r="7" spans="1:19" x14ac:dyDescent="0.35">
      <c r="A7" s="8">
        <f t="shared" si="0"/>
        <v>6</v>
      </c>
      <c r="B7" s="8" t="s">
        <v>9</v>
      </c>
      <c r="C7" s="8" t="s">
        <v>14</v>
      </c>
      <c r="D7" s="9">
        <v>45885</v>
      </c>
      <c r="E7" s="21">
        <v>1200000</v>
      </c>
      <c r="F7" s="9">
        <v>45948</v>
      </c>
      <c r="G7" s="9"/>
      <c r="H7" s="19">
        <f>'5.Report_Info'!$A$2-'4.Cleaned_Data'!$F7</f>
        <v>45</v>
      </c>
      <c r="I7" s="8" t="str">
        <f t="shared" si="1"/>
        <v>31-60 days</v>
      </c>
      <c r="J7" s="24" cm="1">
        <f t="array" ref="J7">TableReport[Report_Date]-TableCleaned[[#This Row],[PaymentDate]]</f>
        <v>45</v>
      </c>
      <c r="K7" s="22" t="str">
        <f>IF(AND(ISNUMBER(TableCleaned[[#This Row],[InvoiceDate]]),ISNUMBER(TableCleaned[[#This Row],[PaymentDate]])),"OK","Inconsistent")</f>
        <v>OK</v>
      </c>
      <c r="L7" s="22" t="str" cm="1">
        <f t="array" ref="L7">IF(ISNUMBER(TableCleaned[[#This Row],[InvoiceDate]]),IF(TableCleaned[[#This Row],[InvoiceDate]]&lt;(TableReport[Report_Date]-120),"Outdated","OK"),"Missing Date")</f>
        <v>OK</v>
      </c>
      <c r="M7" s="22" t="str">
        <f>TableCleaned[[#This Row],[CustomerID]]&amp; " - " &amp; TEXT(TableCleaned[[#This Row],[PaymentDate]],"yyy-mm-dd")</f>
        <v>C001 - 2025-10-18</v>
      </c>
      <c r="N7" s="22" t="str">
        <f>IF(COUNTIF(TableCleaned[Check_InvoiceDate],TableCleaned[[#This Row],[Check_InvoiceDate]])&gt;1, "Duplicate", "OK")</f>
        <v>OK</v>
      </c>
      <c r="O7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7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No Change</v>
      </c>
      <c r="Q7" s="22" t="str">
        <f>IF(TableCleaned[[#This Row],[ChangeNeeded]]="No Change", "No Change Needed",IF(COUNTIF(TableChangeLog[RowID],TableCleaned[[#This Row],[RowID]])&gt;0, "Logged", "Not Logged"))</f>
        <v>No Change Needed</v>
      </c>
      <c r="R7" s="19">
        <f>COUNTIFS(TableCleaned[[#This Row],[ChangeNeeded]],"Changed",TableCleaned[[#This Row],[ChangeLog_Status]], "Not Logged")</f>
        <v>0</v>
      </c>
      <c r="S7" s="19">
        <f>COUNTIFS(TableCleaned[[#This Row],[ChangeNeeded]],"No Changed",TableCleaned[[#This Row],[ChangeLog_Status]], "Logged")</f>
        <v>0</v>
      </c>
    </row>
    <row r="8" spans="1:19" x14ac:dyDescent="0.35">
      <c r="A8" s="8">
        <f t="shared" si="0"/>
        <v>7</v>
      </c>
      <c r="B8" s="8" t="s">
        <v>9</v>
      </c>
      <c r="C8" s="8" t="s">
        <v>14</v>
      </c>
      <c r="D8" s="9">
        <v>45782</v>
      </c>
      <c r="E8" s="21">
        <v>100000</v>
      </c>
      <c r="F8" s="9">
        <v>45976</v>
      </c>
      <c r="G8" s="9"/>
      <c r="H8" s="19">
        <f>'5.Report_Info'!$A$2-'4.Cleaned_Data'!$F8</f>
        <v>17</v>
      </c>
      <c r="I8" s="8" t="str">
        <f t="shared" si="1"/>
        <v>0-30 days</v>
      </c>
      <c r="J8" s="24" cm="1">
        <f t="array" ref="J8">TableReport[Report_Date]-TableCleaned[[#This Row],[PaymentDate]]</f>
        <v>17</v>
      </c>
      <c r="K8" s="22" t="str">
        <f>IF(AND(ISNUMBER(TableCleaned[[#This Row],[InvoiceDate]]),ISNUMBER(TableCleaned[[#This Row],[PaymentDate]])),"OK","Inconsistent")</f>
        <v>OK</v>
      </c>
      <c r="L8" s="22" t="str" cm="1">
        <f t="array" ref="L8">IF(ISNUMBER(TableCleaned[[#This Row],[InvoiceDate]]),IF(TableCleaned[[#This Row],[InvoiceDate]]&lt;(TableReport[Report_Date]-120),"Outdated","OK"),"Missing Date")</f>
        <v>Outdated</v>
      </c>
      <c r="M8" s="22" t="str">
        <f>TableCleaned[[#This Row],[CustomerID]]&amp; " - " &amp; TEXT(TableCleaned[[#This Row],[PaymentDate]],"yyy-mm-dd")</f>
        <v>C001 - 2025-11-15</v>
      </c>
      <c r="N8" s="22" t="str">
        <f>IF(COUNTIF(TableCleaned[Check_InvoiceDate],TableCleaned[[#This Row],[Check_InvoiceDate]])&gt;1, "Duplicate", "OK")</f>
        <v>OK</v>
      </c>
      <c r="O8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8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8" s="22" t="str">
        <f>IF(TableCleaned[[#This Row],[ChangeNeeded]]="No Change", "No Change Needed",IF(COUNTIF(TableChangeLog[RowID],TableCleaned[[#This Row],[RowID]])&gt;0, "Logged", "Not Logged"))</f>
        <v>Logged</v>
      </c>
      <c r="R8" s="19">
        <f>COUNTIFS(TableCleaned[[#This Row],[ChangeNeeded]],"Changed",TableCleaned[[#This Row],[ChangeLog_Status]], "Not Logged")</f>
        <v>0</v>
      </c>
      <c r="S8" s="19">
        <f>COUNTIFS(TableCleaned[[#This Row],[ChangeNeeded]],"No Changed",TableCleaned[[#This Row],[ChangeLog_Status]], "Logged")</f>
        <v>0</v>
      </c>
    </row>
    <row r="9" spans="1:19" x14ac:dyDescent="0.35">
      <c r="A9" s="8">
        <f t="shared" si="0"/>
        <v>8</v>
      </c>
      <c r="B9" s="8" t="s">
        <v>9</v>
      </c>
      <c r="C9" s="8" t="s">
        <v>14</v>
      </c>
      <c r="D9" s="9">
        <v>45929</v>
      </c>
      <c r="E9" s="21">
        <v>1000000</v>
      </c>
      <c r="F9" s="9">
        <v>45929</v>
      </c>
      <c r="G9" s="9"/>
      <c r="H9" s="19">
        <f>'5.Report_Info'!$A$2-'4.Cleaned_Data'!$F9</f>
        <v>64</v>
      </c>
      <c r="I9" s="8" t="str">
        <f t="shared" si="1"/>
        <v>61-90 days</v>
      </c>
      <c r="J9" s="24" cm="1">
        <f t="array" ref="J9">TableReport[Report_Date]-TableCleaned[[#This Row],[PaymentDate]]</f>
        <v>64</v>
      </c>
      <c r="K9" s="22" t="str">
        <f>IF(AND(ISNUMBER(TableCleaned[[#This Row],[InvoiceDate]]),ISNUMBER(TableCleaned[[#This Row],[PaymentDate]])),"OK","Inconsistent")</f>
        <v>OK</v>
      </c>
      <c r="L9" s="22" t="str" cm="1">
        <f t="array" ref="L9">IF(ISNUMBER(TableCleaned[[#This Row],[InvoiceDate]]),IF(TableCleaned[[#This Row],[InvoiceDate]]&lt;(TableReport[Report_Date]-120),"Outdated","OK"),"Missing Date")</f>
        <v>OK</v>
      </c>
      <c r="M9" s="22" t="str">
        <f>TableCleaned[[#This Row],[CustomerID]]&amp; " - " &amp; TEXT(TableCleaned[[#This Row],[PaymentDate]],"yyy-mm-dd")</f>
        <v>C001 - 2025-09-29</v>
      </c>
      <c r="N9" s="22" t="str">
        <f>IF(COUNTIF(TableCleaned[Check_InvoiceDate],TableCleaned[[#This Row],[Check_InvoiceDate]])&gt;1, "Duplicate", "OK")</f>
        <v>OK</v>
      </c>
      <c r="O9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9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No Change</v>
      </c>
      <c r="Q9" s="22" t="str">
        <f>IF(TableCleaned[[#This Row],[ChangeNeeded]]="No Change", "No Change Needed",IF(COUNTIF(TableChangeLog[RowID],TableCleaned[[#This Row],[RowID]])&gt;0, "Logged", "Not Logged"))</f>
        <v>No Change Needed</v>
      </c>
      <c r="R9" s="19">
        <f>COUNTIFS(TableCleaned[[#This Row],[ChangeNeeded]],"Changed",TableCleaned[[#This Row],[ChangeLog_Status]], "Not Logged")</f>
        <v>0</v>
      </c>
      <c r="S9" s="19">
        <f>COUNTIFS(TableCleaned[[#This Row],[ChangeNeeded]],"No Changed",TableCleaned[[#This Row],[ChangeLog_Status]], "Logged")</f>
        <v>0</v>
      </c>
    </row>
    <row r="10" spans="1:19" x14ac:dyDescent="0.35">
      <c r="A10" s="8">
        <f t="shared" si="0"/>
        <v>9</v>
      </c>
      <c r="B10" s="8" t="s">
        <v>9</v>
      </c>
      <c r="C10" s="8" t="s">
        <v>14</v>
      </c>
      <c r="D10" s="9">
        <v>45743</v>
      </c>
      <c r="E10" s="21">
        <v>1200000</v>
      </c>
      <c r="F10" s="9">
        <v>45988</v>
      </c>
      <c r="G10" s="9"/>
      <c r="H10" s="19">
        <f>'5.Report_Info'!$A$2-'4.Cleaned_Data'!$F10</f>
        <v>5</v>
      </c>
      <c r="I10" s="8" t="str">
        <f t="shared" si="1"/>
        <v>0-30 days</v>
      </c>
      <c r="J10" s="24" cm="1">
        <f t="array" ref="J10">TableReport[Report_Date]-TableCleaned[[#This Row],[PaymentDate]]</f>
        <v>5</v>
      </c>
      <c r="K10" s="22" t="str">
        <f>IF(AND(ISNUMBER(TableCleaned[[#This Row],[InvoiceDate]]),ISNUMBER(TableCleaned[[#This Row],[PaymentDate]])),"OK","Inconsistent")</f>
        <v>OK</v>
      </c>
      <c r="L10" s="22" t="str" cm="1">
        <f t="array" ref="L10">IF(ISNUMBER(TableCleaned[[#This Row],[InvoiceDate]]),IF(TableCleaned[[#This Row],[InvoiceDate]]&lt;(TableReport[Report_Date]-120),"Outdated","OK"),"Missing Date")</f>
        <v>Outdated</v>
      </c>
      <c r="M10" s="22" t="str">
        <f>TableCleaned[[#This Row],[CustomerID]]&amp; " - " &amp; TEXT(TableCleaned[[#This Row],[PaymentDate]],"yyy-mm-dd")</f>
        <v>C001 - 2025-11-27</v>
      </c>
      <c r="N10" s="22" t="str">
        <f>IF(COUNTIF(TableCleaned[Check_InvoiceDate],TableCleaned[[#This Row],[Check_InvoiceDate]])&gt;1, "Duplicate", "OK")</f>
        <v>OK</v>
      </c>
      <c r="O10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10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10" s="22" t="str">
        <f>IF(TableCleaned[[#This Row],[ChangeNeeded]]="No Change", "No Change Needed",IF(COUNTIF(TableChangeLog[RowID],TableCleaned[[#This Row],[RowID]])&gt;0, "Logged", "Not Logged"))</f>
        <v>Not Logged</v>
      </c>
      <c r="R10" s="19">
        <f>COUNTIFS(TableCleaned[[#This Row],[ChangeNeeded]],"Changed",TableCleaned[[#This Row],[ChangeLog_Status]], "Not Logged")</f>
        <v>1</v>
      </c>
      <c r="S10" s="19">
        <f>COUNTIFS(TableCleaned[[#This Row],[ChangeNeeded]],"No Changed",TableCleaned[[#This Row],[ChangeLog_Status]], "Logged")</f>
        <v>0</v>
      </c>
    </row>
    <row r="11" spans="1:19" x14ac:dyDescent="0.35">
      <c r="A11" s="8">
        <f t="shared" si="0"/>
        <v>10</v>
      </c>
      <c r="B11" s="8" t="s">
        <v>5</v>
      </c>
      <c r="C11" s="8" t="s">
        <v>10</v>
      </c>
      <c r="D11" s="9">
        <v>45677</v>
      </c>
      <c r="E11" s="21">
        <v>500000</v>
      </c>
      <c r="F11" s="9">
        <v>45958</v>
      </c>
      <c r="G11" s="9"/>
      <c r="H11" s="19">
        <f>'5.Report_Info'!$A$2-'4.Cleaned_Data'!$F11</f>
        <v>35</v>
      </c>
      <c r="I11" s="8" t="str">
        <f t="shared" si="1"/>
        <v>31-60 days</v>
      </c>
      <c r="J11" s="24" cm="1">
        <f t="array" ref="J11">TableReport[Report_Date]-TableCleaned[[#This Row],[PaymentDate]]</f>
        <v>35</v>
      </c>
      <c r="K11" s="22" t="str">
        <f>IF(AND(ISNUMBER(TableCleaned[[#This Row],[InvoiceDate]]),ISNUMBER(TableCleaned[[#This Row],[PaymentDate]])),"OK","Inconsistent")</f>
        <v>OK</v>
      </c>
      <c r="L11" s="22" t="str" cm="1">
        <f t="array" ref="L11">IF(ISNUMBER(TableCleaned[[#This Row],[InvoiceDate]]),IF(TableCleaned[[#This Row],[InvoiceDate]]&lt;(TableReport[Report_Date]-120),"Outdated","OK"),"Missing Date")</f>
        <v>Outdated</v>
      </c>
      <c r="M11" s="22" t="str">
        <f>TableCleaned[[#This Row],[CustomerID]]&amp; " - " &amp; TEXT(TableCleaned[[#This Row],[PaymentDate]],"yyy-mm-dd")</f>
        <v>C002 - 2025-10-28</v>
      </c>
      <c r="N11" s="22" t="str">
        <f>IF(COUNTIF(TableCleaned[Check_InvoiceDate],TableCleaned[[#This Row],[Check_InvoiceDate]])&gt;1, "Duplicate", "OK")</f>
        <v>OK</v>
      </c>
      <c r="O11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11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11" s="22" t="str">
        <f>IF(TableCleaned[[#This Row],[ChangeNeeded]]="No Change", "No Change Needed",IF(COUNTIF(TableChangeLog[RowID],TableCleaned[[#This Row],[RowID]])&gt;0, "Logged", "Not Logged"))</f>
        <v>Not Logged</v>
      </c>
      <c r="R11" s="19">
        <f>COUNTIFS(TableCleaned[[#This Row],[ChangeNeeded]],"Changed",TableCleaned[[#This Row],[ChangeLog_Status]], "Not Logged")</f>
        <v>1</v>
      </c>
      <c r="S11" s="19">
        <f>COUNTIFS(TableCleaned[[#This Row],[ChangeNeeded]],"No Changed",TableCleaned[[#This Row],[ChangeLog_Status]], "Logged")</f>
        <v>0</v>
      </c>
    </row>
    <row r="12" spans="1:19" x14ac:dyDescent="0.35">
      <c r="A12" s="8">
        <f t="shared" si="0"/>
        <v>11</v>
      </c>
      <c r="B12" s="8" t="s">
        <v>5</v>
      </c>
      <c r="C12" s="8" t="s">
        <v>10</v>
      </c>
      <c r="D12" s="7">
        <v>45903</v>
      </c>
      <c r="E12" s="21">
        <v>100000</v>
      </c>
      <c r="F12" s="7">
        <v>45965</v>
      </c>
      <c r="G12" s="7"/>
      <c r="H12" s="19">
        <f>'5.Report_Info'!$A$2-'4.Cleaned_Data'!$F12</f>
        <v>28</v>
      </c>
      <c r="I12" s="8" t="str">
        <f t="shared" si="1"/>
        <v>0-30 days</v>
      </c>
      <c r="J12" s="24" cm="1">
        <f t="array" ref="J12">TableReport[Report_Date]-TableCleaned[[#This Row],[PaymentDate]]</f>
        <v>28</v>
      </c>
      <c r="K12" s="22" t="str">
        <f>IF(AND(ISNUMBER(TableCleaned[[#This Row],[InvoiceDate]]),ISNUMBER(TableCleaned[[#This Row],[PaymentDate]])),"OK","Inconsistent")</f>
        <v>OK</v>
      </c>
      <c r="L12" s="22" t="str" cm="1">
        <f t="array" ref="L12">IF(ISNUMBER(TableCleaned[[#This Row],[InvoiceDate]]),IF(TableCleaned[[#This Row],[InvoiceDate]]&lt;(TableReport[Report_Date]-120),"Outdated","OK"),"Missing Date")</f>
        <v>OK</v>
      </c>
      <c r="M12" s="22" t="str">
        <f>TableCleaned[[#This Row],[CustomerID]]&amp; " - " &amp; TEXT(TableCleaned[[#This Row],[PaymentDate]],"yyy-mm-dd")</f>
        <v>C002 - 2025-11-04</v>
      </c>
      <c r="N12" s="22" t="str">
        <f>IF(COUNTIF(TableCleaned[Check_InvoiceDate],TableCleaned[[#This Row],[Check_InvoiceDate]])&gt;1, "Duplicate", "OK")</f>
        <v>OK</v>
      </c>
      <c r="O12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12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No Change</v>
      </c>
      <c r="Q12" s="22" t="str">
        <f>IF(TableCleaned[[#This Row],[ChangeNeeded]]="No Change", "No Change Needed",IF(COUNTIF(TableChangeLog[RowID],TableCleaned[[#This Row],[RowID]])&gt;0, "Logged", "Not Logged"))</f>
        <v>No Change Needed</v>
      </c>
      <c r="R12" s="19">
        <f>COUNTIFS(TableCleaned[[#This Row],[ChangeNeeded]],"Changed",TableCleaned[[#This Row],[ChangeLog_Status]], "Not Logged")</f>
        <v>0</v>
      </c>
      <c r="S12" s="19">
        <f>COUNTIFS(TableCleaned[[#This Row],[ChangeNeeded]],"No Changed",TableCleaned[[#This Row],[ChangeLog_Status]], "Logged")</f>
        <v>0</v>
      </c>
    </row>
    <row r="13" spans="1:19" x14ac:dyDescent="0.35">
      <c r="A13" s="8">
        <f t="shared" si="0"/>
        <v>12</v>
      </c>
      <c r="B13" s="8" t="s">
        <v>5</v>
      </c>
      <c r="C13" s="8" t="s">
        <v>10</v>
      </c>
      <c r="D13" s="9">
        <v>45768</v>
      </c>
      <c r="E13" s="21">
        <v>1200000</v>
      </c>
      <c r="F13" s="9">
        <v>45891</v>
      </c>
      <c r="G13" s="9"/>
      <c r="H13" s="19">
        <f>'5.Report_Info'!$A$2-'4.Cleaned_Data'!$F13</f>
        <v>102</v>
      </c>
      <c r="I13" s="8" t="str">
        <f t="shared" si="1"/>
        <v>91+ days</v>
      </c>
      <c r="J13" s="24" cm="1">
        <f t="array" ref="J13">TableReport[Report_Date]-TableCleaned[[#This Row],[PaymentDate]]</f>
        <v>102</v>
      </c>
      <c r="K13" s="22" t="str">
        <f>IF(AND(ISNUMBER(TableCleaned[[#This Row],[InvoiceDate]]),ISNUMBER(TableCleaned[[#This Row],[PaymentDate]])),"OK","Inconsistent")</f>
        <v>OK</v>
      </c>
      <c r="L13" s="22" t="str" cm="1">
        <f t="array" ref="L13">IF(ISNUMBER(TableCleaned[[#This Row],[InvoiceDate]]),IF(TableCleaned[[#This Row],[InvoiceDate]]&lt;(TableReport[Report_Date]-120),"Outdated","OK"),"Missing Date")</f>
        <v>Outdated</v>
      </c>
      <c r="M13" s="22" t="str">
        <f>TableCleaned[[#This Row],[CustomerID]]&amp; " - " &amp; TEXT(TableCleaned[[#This Row],[PaymentDate]],"yyy-mm-dd")</f>
        <v>C002 - 2025-08-22</v>
      </c>
      <c r="N13" s="22" t="str">
        <f>IF(COUNTIF(TableCleaned[Check_InvoiceDate],TableCleaned[[#This Row],[Check_InvoiceDate]])&gt;1, "Duplicate", "OK")</f>
        <v>OK</v>
      </c>
      <c r="O13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13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13" s="22" t="str">
        <f>IF(TableCleaned[[#This Row],[ChangeNeeded]]="No Change", "No Change Needed",IF(COUNTIF(TableChangeLog[RowID],TableCleaned[[#This Row],[RowID]])&gt;0, "Logged", "Not Logged"))</f>
        <v>Logged</v>
      </c>
      <c r="R13" s="19">
        <f>COUNTIFS(TableCleaned[[#This Row],[ChangeNeeded]],"Changed",TableCleaned[[#This Row],[ChangeLog_Status]], "Not Logged")</f>
        <v>0</v>
      </c>
      <c r="S13" s="19">
        <f>COUNTIFS(TableCleaned[[#This Row],[ChangeNeeded]],"No Changed",TableCleaned[[#This Row],[ChangeLog_Status]], "Logged")</f>
        <v>0</v>
      </c>
    </row>
    <row r="14" spans="1:19" x14ac:dyDescent="0.35">
      <c r="A14" s="8">
        <f t="shared" si="0"/>
        <v>13</v>
      </c>
      <c r="B14" s="8" t="s">
        <v>5</v>
      </c>
      <c r="C14" s="8" t="s">
        <v>10</v>
      </c>
      <c r="D14" s="9">
        <v>45899</v>
      </c>
      <c r="E14" s="21">
        <v>100000</v>
      </c>
      <c r="F14" s="9">
        <v>45930</v>
      </c>
      <c r="G14" s="9"/>
      <c r="H14" s="19">
        <f>'5.Report_Info'!$A$2-'4.Cleaned_Data'!$F14</f>
        <v>63</v>
      </c>
      <c r="I14" s="8" t="str">
        <f t="shared" si="1"/>
        <v>61-90 days</v>
      </c>
      <c r="J14" s="24" cm="1">
        <f t="array" ref="J14">TableReport[Report_Date]-TableCleaned[[#This Row],[PaymentDate]]</f>
        <v>63</v>
      </c>
      <c r="K14" s="22" t="str">
        <f>IF(AND(ISNUMBER(TableCleaned[[#This Row],[InvoiceDate]]),ISNUMBER(TableCleaned[[#This Row],[PaymentDate]])),"OK","Inconsistent")</f>
        <v>OK</v>
      </c>
      <c r="L14" s="22" t="str" cm="1">
        <f t="array" ref="L14">IF(ISNUMBER(TableCleaned[[#This Row],[InvoiceDate]]),IF(TableCleaned[[#This Row],[InvoiceDate]]&lt;(TableReport[Report_Date]-120),"Outdated","OK"),"Missing Date")</f>
        <v>OK</v>
      </c>
      <c r="M14" s="22" t="str">
        <f>TableCleaned[[#This Row],[CustomerID]]&amp; " - " &amp; TEXT(TableCleaned[[#This Row],[PaymentDate]],"yyy-mm-dd")</f>
        <v>C002 - 2025-09-30</v>
      </c>
      <c r="N14" s="22" t="str">
        <f>IF(COUNTIF(TableCleaned[Check_InvoiceDate],TableCleaned[[#This Row],[Check_InvoiceDate]])&gt;1, "Duplicate", "OK")</f>
        <v>OK</v>
      </c>
      <c r="O14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14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No Change</v>
      </c>
      <c r="Q14" s="22" t="str">
        <f>IF(TableCleaned[[#This Row],[ChangeNeeded]]="No Change", "No Change Needed",IF(COUNTIF(TableChangeLog[RowID],TableCleaned[[#This Row],[RowID]])&gt;0, "Logged", "Not Logged"))</f>
        <v>No Change Needed</v>
      </c>
      <c r="R14" s="19">
        <f>COUNTIFS(TableCleaned[[#This Row],[ChangeNeeded]],"Changed",TableCleaned[[#This Row],[ChangeLog_Status]], "Not Logged")</f>
        <v>0</v>
      </c>
      <c r="S14" s="19">
        <f>COUNTIFS(TableCleaned[[#This Row],[ChangeNeeded]],"No Changed",TableCleaned[[#This Row],[ChangeLog_Status]], "Logged")</f>
        <v>0</v>
      </c>
    </row>
    <row r="15" spans="1:19" x14ac:dyDescent="0.35">
      <c r="A15" s="8">
        <f t="shared" si="0"/>
        <v>14</v>
      </c>
      <c r="B15" s="8" t="s">
        <v>5</v>
      </c>
      <c r="C15" s="8" t="s">
        <v>10</v>
      </c>
      <c r="D15" s="7">
        <v>45937</v>
      </c>
      <c r="E15" s="21">
        <v>700000</v>
      </c>
      <c r="F15" s="7">
        <v>45989</v>
      </c>
      <c r="G15" s="7"/>
      <c r="H15" s="19">
        <f>'5.Report_Info'!$A$2-'4.Cleaned_Data'!$F15</f>
        <v>4</v>
      </c>
      <c r="I15" s="8" t="str">
        <f t="shared" si="1"/>
        <v>0-30 days</v>
      </c>
      <c r="J15" s="24" cm="1">
        <f t="array" ref="J15">TableReport[Report_Date]-TableCleaned[[#This Row],[PaymentDate]]</f>
        <v>4</v>
      </c>
      <c r="K15" s="22" t="str">
        <f>IF(AND(ISNUMBER(TableCleaned[[#This Row],[InvoiceDate]]),ISNUMBER(TableCleaned[[#This Row],[PaymentDate]])),"OK","Inconsistent")</f>
        <v>OK</v>
      </c>
      <c r="L15" s="22" t="str" cm="1">
        <f t="array" ref="L15">IF(ISNUMBER(TableCleaned[[#This Row],[InvoiceDate]]),IF(TableCleaned[[#This Row],[InvoiceDate]]&lt;(TableReport[Report_Date]-120),"Outdated","OK"),"Missing Date")</f>
        <v>OK</v>
      </c>
      <c r="M15" s="22" t="str">
        <f>TableCleaned[[#This Row],[CustomerID]]&amp; " - " &amp; TEXT(TableCleaned[[#This Row],[PaymentDate]],"yyy-mm-dd")</f>
        <v>C002 - 2025-11-28</v>
      </c>
      <c r="N15" s="22" t="str">
        <f>IF(COUNTIF(TableCleaned[Check_InvoiceDate],TableCleaned[[#This Row],[Check_InvoiceDate]])&gt;1, "Duplicate", "OK")</f>
        <v>OK</v>
      </c>
      <c r="O15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15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No Change</v>
      </c>
      <c r="Q15" s="22" t="str">
        <f>IF(TableCleaned[[#This Row],[ChangeNeeded]]="No Change", "No Change Needed",IF(COUNTIF(TableChangeLog[RowID],TableCleaned[[#This Row],[RowID]])&gt;0, "Logged", "Not Logged"))</f>
        <v>No Change Needed</v>
      </c>
      <c r="R15" s="19">
        <f>COUNTIFS(TableCleaned[[#This Row],[ChangeNeeded]],"Changed",TableCleaned[[#This Row],[ChangeLog_Status]], "Not Logged")</f>
        <v>0</v>
      </c>
      <c r="S15" s="19">
        <f>COUNTIFS(TableCleaned[[#This Row],[ChangeNeeded]],"No Changed",TableCleaned[[#This Row],[ChangeLog_Status]], "Logged")</f>
        <v>0</v>
      </c>
    </row>
    <row r="16" spans="1:19" x14ac:dyDescent="0.35">
      <c r="A16" s="8">
        <f t="shared" si="0"/>
        <v>15</v>
      </c>
      <c r="B16" s="8" t="s">
        <v>5</v>
      </c>
      <c r="C16" s="8" t="s">
        <v>10</v>
      </c>
      <c r="D16" s="9">
        <v>45984</v>
      </c>
      <c r="E16" s="21">
        <v>1200000</v>
      </c>
      <c r="F16" s="9">
        <v>45991</v>
      </c>
      <c r="G16" s="9"/>
      <c r="H16" s="19">
        <f>'5.Report_Info'!$A$2-'4.Cleaned_Data'!$F16</f>
        <v>2</v>
      </c>
      <c r="I16" s="8" t="str">
        <f t="shared" si="1"/>
        <v>0-30 days</v>
      </c>
      <c r="J16" s="24" cm="1">
        <f t="array" ref="J16">TableReport[Report_Date]-TableCleaned[[#This Row],[PaymentDate]]</f>
        <v>2</v>
      </c>
      <c r="K16" s="22" t="str">
        <f>IF(AND(ISNUMBER(TableCleaned[[#This Row],[InvoiceDate]]),ISNUMBER(TableCleaned[[#This Row],[PaymentDate]])),"OK","Inconsistent")</f>
        <v>OK</v>
      </c>
      <c r="L16" s="22" t="str" cm="1">
        <f t="array" ref="L16">IF(ISNUMBER(TableCleaned[[#This Row],[InvoiceDate]]),IF(TableCleaned[[#This Row],[InvoiceDate]]&lt;(TableReport[Report_Date]-120),"Outdated","OK"),"Missing Date")</f>
        <v>OK</v>
      </c>
      <c r="M16" s="22" t="str">
        <f>TableCleaned[[#This Row],[CustomerID]]&amp; " - " &amp; TEXT(TableCleaned[[#This Row],[PaymentDate]],"yyy-mm-dd")</f>
        <v>C002 - 2025-11-30</v>
      </c>
      <c r="N16" s="22" t="str">
        <f>IF(COUNTIF(TableCleaned[Check_InvoiceDate],TableCleaned[[#This Row],[Check_InvoiceDate]])&gt;1, "Duplicate", "OK")</f>
        <v>OK</v>
      </c>
      <c r="O16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16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No Change</v>
      </c>
      <c r="Q16" s="22" t="str">
        <f>IF(TableCleaned[[#This Row],[ChangeNeeded]]="No Change", "No Change Needed",IF(COUNTIF(TableChangeLog[RowID],TableCleaned[[#This Row],[RowID]])&gt;0, "Logged", "Not Logged"))</f>
        <v>No Change Needed</v>
      </c>
      <c r="R16" s="19">
        <f>COUNTIFS(TableCleaned[[#This Row],[ChangeNeeded]],"Changed",TableCleaned[[#This Row],[ChangeLog_Status]], "Not Logged")</f>
        <v>0</v>
      </c>
      <c r="S16" s="19">
        <f>COUNTIFS(TableCleaned[[#This Row],[ChangeNeeded]],"No Changed",TableCleaned[[#This Row],[ChangeLog_Status]], "Logged")</f>
        <v>0</v>
      </c>
    </row>
    <row r="17" spans="1:19" x14ac:dyDescent="0.35">
      <c r="A17" s="8">
        <f t="shared" si="0"/>
        <v>16</v>
      </c>
      <c r="B17" s="8" t="s">
        <v>5</v>
      </c>
      <c r="C17" s="8" t="s">
        <v>10</v>
      </c>
      <c r="D17" s="9">
        <v>45821</v>
      </c>
      <c r="E17" s="21">
        <v>120000</v>
      </c>
      <c r="F17" s="9">
        <v>45913</v>
      </c>
      <c r="G17" s="9"/>
      <c r="H17" s="19">
        <f>'5.Report_Info'!$A$2-'4.Cleaned_Data'!$F17</f>
        <v>80</v>
      </c>
      <c r="I17" s="8" t="str">
        <f t="shared" si="1"/>
        <v>61-90 days</v>
      </c>
      <c r="J17" s="24" cm="1">
        <f t="array" ref="J17">TableReport[Report_Date]-TableCleaned[[#This Row],[PaymentDate]]</f>
        <v>80</v>
      </c>
      <c r="K17" s="22" t="str">
        <f>IF(AND(ISNUMBER(TableCleaned[[#This Row],[InvoiceDate]]),ISNUMBER(TableCleaned[[#This Row],[PaymentDate]])),"OK","Inconsistent")</f>
        <v>OK</v>
      </c>
      <c r="L17" s="22" t="str" cm="1">
        <f t="array" ref="L17">IF(ISNUMBER(TableCleaned[[#This Row],[InvoiceDate]]),IF(TableCleaned[[#This Row],[InvoiceDate]]&lt;(TableReport[Report_Date]-120),"Outdated","OK"),"Missing Date")</f>
        <v>Outdated</v>
      </c>
      <c r="M17" s="22" t="str">
        <f>TableCleaned[[#This Row],[CustomerID]]&amp; " - " &amp; TEXT(TableCleaned[[#This Row],[PaymentDate]],"yyy-mm-dd")</f>
        <v>C002 - 2025-09-13</v>
      </c>
      <c r="N17" s="22" t="str">
        <f>IF(COUNTIF(TableCleaned[Check_InvoiceDate],TableCleaned[[#This Row],[Check_InvoiceDate]])&gt;1, "Duplicate", "OK")</f>
        <v>OK</v>
      </c>
      <c r="O17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17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17" s="22" t="str">
        <f>IF(TableCleaned[[#This Row],[ChangeNeeded]]="No Change", "No Change Needed",IF(COUNTIF(TableChangeLog[RowID],TableCleaned[[#This Row],[RowID]])&gt;0, "Logged", "Not Logged"))</f>
        <v>Not Logged</v>
      </c>
      <c r="R17" s="19">
        <f>COUNTIFS(TableCleaned[[#This Row],[ChangeNeeded]],"Changed",TableCleaned[[#This Row],[ChangeLog_Status]], "Not Logged")</f>
        <v>1</v>
      </c>
      <c r="S17" s="19">
        <f>COUNTIFS(TableCleaned[[#This Row],[ChangeNeeded]],"No Changed",TableCleaned[[#This Row],[ChangeLog_Status]], "Logged")</f>
        <v>0</v>
      </c>
    </row>
    <row r="18" spans="1:19" x14ac:dyDescent="0.35">
      <c r="A18" s="8">
        <f t="shared" si="0"/>
        <v>17</v>
      </c>
      <c r="B18" s="8" t="s">
        <v>5</v>
      </c>
      <c r="C18" s="8" t="s">
        <v>10</v>
      </c>
      <c r="D18" s="9">
        <v>45851</v>
      </c>
      <c r="E18" s="21">
        <v>1200000</v>
      </c>
      <c r="F18" s="9">
        <v>45876</v>
      </c>
      <c r="G18" s="9"/>
      <c r="H18" s="19">
        <f>'5.Report_Info'!$A$2-'4.Cleaned_Data'!$F18</f>
        <v>117</v>
      </c>
      <c r="I18" s="8" t="str">
        <f t="shared" si="1"/>
        <v>91+ days</v>
      </c>
      <c r="J18" s="24" cm="1">
        <f t="array" ref="J18">TableReport[Report_Date]-TableCleaned[[#This Row],[PaymentDate]]</f>
        <v>117</v>
      </c>
      <c r="K18" s="22" t="str">
        <f>IF(AND(ISNUMBER(TableCleaned[[#This Row],[InvoiceDate]]),ISNUMBER(TableCleaned[[#This Row],[PaymentDate]])),"OK","Inconsistent")</f>
        <v>OK</v>
      </c>
      <c r="L18" s="22" t="str" cm="1">
        <f t="array" ref="L18">IF(ISNUMBER(TableCleaned[[#This Row],[InvoiceDate]]),IF(TableCleaned[[#This Row],[InvoiceDate]]&lt;(TableReport[Report_Date]-120),"Outdated","OK"),"Missing Date")</f>
        <v>Outdated</v>
      </c>
      <c r="M18" s="22" t="str">
        <f>TableCleaned[[#This Row],[CustomerID]]&amp; " - " &amp; TEXT(TableCleaned[[#This Row],[PaymentDate]],"yyy-mm-dd")</f>
        <v>C002 - 2025-08-07</v>
      </c>
      <c r="N18" s="22" t="str">
        <f>IF(COUNTIF(TableCleaned[Check_InvoiceDate],TableCleaned[[#This Row],[Check_InvoiceDate]])&gt;1, "Duplicate", "OK")</f>
        <v>OK</v>
      </c>
      <c r="O18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18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18" s="22" t="str">
        <f>IF(TableCleaned[[#This Row],[ChangeNeeded]]="No Change", "No Change Needed",IF(COUNTIF(TableChangeLog[RowID],TableCleaned[[#This Row],[RowID]])&gt;0, "Logged", "Not Logged"))</f>
        <v>Not Logged</v>
      </c>
      <c r="R18" s="19">
        <f>COUNTIFS(TableCleaned[[#This Row],[ChangeNeeded]],"Changed",TableCleaned[[#This Row],[ChangeLog_Status]], "Not Logged")</f>
        <v>1</v>
      </c>
      <c r="S18" s="19">
        <f>COUNTIFS(TableCleaned[[#This Row],[ChangeNeeded]],"No Changed",TableCleaned[[#This Row],[ChangeLog_Status]], "Logged")</f>
        <v>0</v>
      </c>
    </row>
    <row r="19" spans="1:19" x14ac:dyDescent="0.35">
      <c r="A19" s="8">
        <f t="shared" si="0"/>
        <v>18</v>
      </c>
      <c r="B19" s="8" t="s">
        <v>5</v>
      </c>
      <c r="C19" s="8" t="s">
        <v>10</v>
      </c>
      <c r="D19" s="9">
        <v>45909</v>
      </c>
      <c r="E19" s="21">
        <v>120000</v>
      </c>
      <c r="F19" s="9">
        <v>45975</v>
      </c>
      <c r="G19" s="9"/>
      <c r="H19" s="19">
        <f>'5.Report_Info'!$A$2-'4.Cleaned_Data'!$F19</f>
        <v>18</v>
      </c>
      <c r="I19" s="8" t="str">
        <f t="shared" si="1"/>
        <v>0-30 days</v>
      </c>
      <c r="J19" s="24" cm="1">
        <f t="array" ref="J19">TableReport[Report_Date]-TableCleaned[[#This Row],[PaymentDate]]</f>
        <v>18</v>
      </c>
      <c r="K19" s="22" t="str">
        <f>IF(AND(ISNUMBER(TableCleaned[[#This Row],[InvoiceDate]]),ISNUMBER(TableCleaned[[#This Row],[PaymentDate]])),"OK","Inconsistent")</f>
        <v>OK</v>
      </c>
      <c r="L19" s="22" t="str" cm="1">
        <f t="array" ref="L19">IF(ISNUMBER(TableCleaned[[#This Row],[InvoiceDate]]),IF(TableCleaned[[#This Row],[InvoiceDate]]&lt;(TableReport[Report_Date]-120),"Outdated","OK"),"Missing Date")</f>
        <v>OK</v>
      </c>
      <c r="M19" s="22" t="str">
        <f>TableCleaned[[#This Row],[CustomerID]]&amp; " - " &amp; TEXT(TableCleaned[[#This Row],[PaymentDate]],"yyy-mm-dd")</f>
        <v>C002 - 2025-11-14</v>
      </c>
      <c r="N19" s="22" t="str">
        <f>IF(COUNTIF(TableCleaned[Check_InvoiceDate],TableCleaned[[#This Row],[Check_InvoiceDate]])&gt;1, "Duplicate", "OK")</f>
        <v>OK</v>
      </c>
      <c r="O19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19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No Change</v>
      </c>
      <c r="Q19" s="22" t="str">
        <f>IF(TableCleaned[[#This Row],[ChangeNeeded]]="No Change", "No Change Needed",IF(COUNTIF(TableChangeLog[RowID],TableCleaned[[#This Row],[RowID]])&gt;0, "Logged", "Not Logged"))</f>
        <v>No Change Needed</v>
      </c>
      <c r="R19" s="19">
        <f>COUNTIFS(TableCleaned[[#This Row],[ChangeNeeded]],"Changed",TableCleaned[[#This Row],[ChangeLog_Status]], "Not Logged")</f>
        <v>0</v>
      </c>
      <c r="S19" s="19">
        <f>COUNTIFS(TableCleaned[[#This Row],[ChangeNeeded]],"No Changed",TableCleaned[[#This Row],[ChangeLog_Status]], "Logged")</f>
        <v>0</v>
      </c>
    </row>
    <row r="20" spans="1:19" x14ac:dyDescent="0.35">
      <c r="A20" s="8">
        <f t="shared" si="0"/>
        <v>19</v>
      </c>
      <c r="B20" s="8" t="s">
        <v>5</v>
      </c>
      <c r="C20" s="8" t="s">
        <v>10</v>
      </c>
      <c r="D20" s="9">
        <v>45891</v>
      </c>
      <c r="E20" s="21">
        <v>1200000</v>
      </c>
      <c r="F20" s="9">
        <v>45922</v>
      </c>
      <c r="G20" s="9"/>
      <c r="H20" s="19">
        <f>'5.Report_Info'!$A$2-'4.Cleaned_Data'!$F20</f>
        <v>71</v>
      </c>
      <c r="I20" s="8" t="str">
        <f t="shared" si="1"/>
        <v>61-90 days</v>
      </c>
      <c r="J20" s="24" cm="1">
        <f t="array" ref="J20">TableReport[Report_Date]-TableCleaned[[#This Row],[PaymentDate]]</f>
        <v>71</v>
      </c>
      <c r="K20" s="22" t="str">
        <f>IF(AND(ISNUMBER(TableCleaned[[#This Row],[InvoiceDate]]),ISNUMBER(TableCleaned[[#This Row],[PaymentDate]])),"OK","Inconsistent")</f>
        <v>OK</v>
      </c>
      <c r="L20" s="22" t="str" cm="1">
        <f t="array" ref="L20">IF(ISNUMBER(TableCleaned[[#This Row],[InvoiceDate]]),IF(TableCleaned[[#This Row],[InvoiceDate]]&lt;(TableReport[Report_Date]-120),"Outdated","OK"),"Missing Date")</f>
        <v>OK</v>
      </c>
      <c r="M20" s="22" t="str">
        <f>TableCleaned[[#This Row],[CustomerID]]&amp; " - " &amp; TEXT(TableCleaned[[#This Row],[PaymentDate]],"yyy-mm-dd")</f>
        <v>C002 - 2025-09-22</v>
      </c>
      <c r="N20" s="22" t="str">
        <f>IF(COUNTIF(TableCleaned[Check_InvoiceDate],TableCleaned[[#This Row],[Check_InvoiceDate]])&gt;1, "Duplicate", "OK")</f>
        <v>OK</v>
      </c>
      <c r="O20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20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No Change</v>
      </c>
      <c r="Q20" s="22" t="str">
        <f>IF(TableCleaned[[#This Row],[ChangeNeeded]]="No Change", "No Change Needed",IF(COUNTIF(TableChangeLog[RowID],TableCleaned[[#This Row],[RowID]])&gt;0, "Logged", "Not Logged"))</f>
        <v>No Change Needed</v>
      </c>
      <c r="R20" s="19">
        <f>COUNTIFS(TableCleaned[[#This Row],[ChangeNeeded]],"Changed",TableCleaned[[#This Row],[ChangeLog_Status]], "Not Logged")</f>
        <v>0</v>
      </c>
      <c r="S20" s="19">
        <f>COUNTIFS(TableCleaned[[#This Row],[ChangeNeeded]],"No Changed",TableCleaned[[#This Row],[ChangeLog_Status]], "Logged")</f>
        <v>0</v>
      </c>
    </row>
    <row r="21" spans="1:19" x14ac:dyDescent="0.35">
      <c r="A21" s="8">
        <f t="shared" si="0"/>
        <v>20</v>
      </c>
      <c r="B21" s="8" t="s">
        <v>5</v>
      </c>
      <c r="C21" s="8" t="s">
        <v>10</v>
      </c>
      <c r="D21" s="9">
        <v>45786</v>
      </c>
      <c r="E21" s="21">
        <v>120000</v>
      </c>
      <c r="F21" s="9">
        <v>45974</v>
      </c>
      <c r="G21" s="9"/>
      <c r="H21" s="19">
        <f>'5.Report_Info'!$A$2-'4.Cleaned_Data'!$F21</f>
        <v>19</v>
      </c>
      <c r="I21" s="8" t="str">
        <f t="shared" si="1"/>
        <v>0-30 days</v>
      </c>
      <c r="J21" s="24" cm="1">
        <f t="array" ref="J21">TableReport[Report_Date]-TableCleaned[[#This Row],[PaymentDate]]</f>
        <v>19</v>
      </c>
      <c r="K21" s="22" t="str">
        <f>IF(AND(ISNUMBER(TableCleaned[[#This Row],[InvoiceDate]]),ISNUMBER(TableCleaned[[#This Row],[PaymentDate]])),"OK","Inconsistent")</f>
        <v>OK</v>
      </c>
      <c r="L21" s="22" t="str" cm="1">
        <f t="array" ref="L21">IF(ISNUMBER(TableCleaned[[#This Row],[InvoiceDate]]),IF(TableCleaned[[#This Row],[InvoiceDate]]&lt;(TableReport[Report_Date]-120),"Outdated","OK"),"Missing Date")</f>
        <v>Outdated</v>
      </c>
      <c r="M21" s="22" t="str">
        <f>TableCleaned[[#This Row],[CustomerID]]&amp; " - " &amp; TEXT(TableCleaned[[#This Row],[PaymentDate]],"yyy-mm-dd")</f>
        <v>C002 - 2025-11-13</v>
      </c>
      <c r="N21" s="22" t="str">
        <f>IF(COUNTIF(TableCleaned[Check_InvoiceDate],TableCleaned[[#This Row],[Check_InvoiceDate]])&gt;1, "Duplicate", "OK")</f>
        <v>OK</v>
      </c>
      <c r="O21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21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21" s="22" t="str">
        <f>IF(TableCleaned[[#This Row],[ChangeNeeded]]="No Change", "No Change Needed",IF(COUNTIF(TableChangeLog[RowID],TableCleaned[[#This Row],[RowID]])&gt;0, "Logged", "Not Logged"))</f>
        <v>Not Logged</v>
      </c>
      <c r="R21" s="19">
        <f>COUNTIFS(TableCleaned[[#This Row],[ChangeNeeded]],"Changed",TableCleaned[[#This Row],[ChangeLog_Status]], "Not Logged")</f>
        <v>1</v>
      </c>
      <c r="S21" s="19">
        <f>COUNTIFS(TableCleaned[[#This Row],[ChangeNeeded]],"No Changed",TableCleaned[[#This Row],[ChangeLog_Status]], "Logged")</f>
        <v>0</v>
      </c>
    </row>
    <row r="22" spans="1:19" x14ac:dyDescent="0.35">
      <c r="A22" s="8">
        <f t="shared" si="0"/>
        <v>21</v>
      </c>
      <c r="B22" s="8" t="s">
        <v>8</v>
      </c>
      <c r="C22" s="8" t="s">
        <v>13</v>
      </c>
      <c r="D22" s="9">
        <v>45828</v>
      </c>
      <c r="E22" s="21">
        <v>500000</v>
      </c>
      <c r="F22" s="9">
        <v>45921</v>
      </c>
      <c r="G22" s="9"/>
      <c r="H22" s="19">
        <f>'5.Report_Info'!$A$2-'4.Cleaned_Data'!$F22</f>
        <v>72</v>
      </c>
      <c r="I22" s="8" t="str">
        <f t="shared" si="1"/>
        <v>61-90 days</v>
      </c>
      <c r="J22" s="24" cm="1">
        <f t="array" ref="J22">TableReport[Report_Date]-TableCleaned[[#This Row],[PaymentDate]]</f>
        <v>72</v>
      </c>
      <c r="K22" s="22" t="str">
        <f>IF(AND(ISNUMBER(TableCleaned[[#This Row],[InvoiceDate]]),ISNUMBER(TableCleaned[[#This Row],[PaymentDate]])),"OK","Inconsistent")</f>
        <v>OK</v>
      </c>
      <c r="L22" s="22" t="str" cm="1">
        <f t="array" ref="L22">IF(ISNUMBER(TableCleaned[[#This Row],[InvoiceDate]]),IF(TableCleaned[[#This Row],[InvoiceDate]]&lt;(TableReport[Report_Date]-120),"Outdated","OK"),"Missing Date")</f>
        <v>Outdated</v>
      </c>
      <c r="M22" s="22" t="str">
        <f>TableCleaned[[#This Row],[CustomerID]]&amp; " - " &amp; TEXT(TableCleaned[[#This Row],[PaymentDate]],"yyy-mm-dd")</f>
        <v>C003 - 2025-09-21</v>
      </c>
      <c r="N22" s="22" t="str">
        <f>IF(COUNTIF(TableCleaned[Check_InvoiceDate],TableCleaned[[#This Row],[Check_InvoiceDate]])&gt;1, "Duplicate", "OK")</f>
        <v>OK</v>
      </c>
      <c r="O22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22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22" s="22" t="str">
        <f>IF(TableCleaned[[#This Row],[ChangeNeeded]]="No Change", "No Change Needed",IF(COUNTIF(TableChangeLog[RowID],TableCleaned[[#This Row],[RowID]])&gt;0, "Logged", "Not Logged"))</f>
        <v>Not Logged</v>
      </c>
      <c r="R22" s="19">
        <f>COUNTIFS(TableCleaned[[#This Row],[ChangeNeeded]],"Changed",TableCleaned[[#This Row],[ChangeLog_Status]], "Not Logged")</f>
        <v>1</v>
      </c>
      <c r="S22" s="19">
        <f>COUNTIFS(TableCleaned[[#This Row],[ChangeNeeded]],"No Changed",TableCleaned[[#This Row],[ChangeLog_Status]], "Logged")</f>
        <v>0</v>
      </c>
    </row>
    <row r="23" spans="1:19" x14ac:dyDescent="0.35">
      <c r="A23" s="8">
        <f t="shared" si="0"/>
        <v>22</v>
      </c>
      <c r="B23" s="8" t="s">
        <v>8</v>
      </c>
      <c r="C23" s="8" t="s">
        <v>13</v>
      </c>
      <c r="D23" s="9">
        <v>45691</v>
      </c>
      <c r="E23" s="21">
        <v>100000</v>
      </c>
      <c r="F23" s="9">
        <v>45973</v>
      </c>
      <c r="G23" s="9"/>
      <c r="H23" s="19">
        <f>'5.Report_Info'!$A$2-'4.Cleaned_Data'!$F23</f>
        <v>20</v>
      </c>
      <c r="I23" s="8" t="str">
        <f t="shared" si="1"/>
        <v>0-30 days</v>
      </c>
      <c r="J23" s="24" cm="1">
        <f t="array" ref="J23">TableReport[Report_Date]-TableCleaned[[#This Row],[PaymentDate]]</f>
        <v>20</v>
      </c>
      <c r="K23" s="22" t="str">
        <f>IF(AND(ISNUMBER(TableCleaned[[#This Row],[InvoiceDate]]),ISNUMBER(TableCleaned[[#This Row],[PaymentDate]])),"OK","Inconsistent")</f>
        <v>OK</v>
      </c>
      <c r="L23" s="22" t="str" cm="1">
        <f t="array" ref="L23">IF(ISNUMBER(TableCleaned[[#This Row],[InvoiceDate]]),IF(TableCleaned[[#This Row],[InvoiceDate]]&lt;(TableReport[Report_Date]-120),"Outdated","OK"),"Missing Date")</f>
        <v>Outdated</v>
      </c>
      <c r="M23" s="22" t="str">
        <f>TableCleaned[[#This Row],[CustomerID]]&amp; " - " &amp; TEXT(TableCleaned[[#This Row],[PaymentDate]],"yyy-mm-dd")</f>
        <v>C003 - 2025-11-12</v>
      </c>
      <c r="N23" s="22" t="str">
        <f>IF(COUNTIF(TableCleaned[Check_InvoiceDate],TableCleaned[[#This Row],[Check_InvoiceDate]])&gt;1, "Duplicate", "OK")</f>
        <v>OK</v>
      </c>
      <c r="O23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23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23" s="22" t="str">
        <f>IF(TableCleaned[[#This Row],[ChangeNeeded]]="No Change", "No Change Needed",IF(COUNTIF(TableChangeLog[RowID],TableCleaned[[#This Row],[RowID]])&gt;0, "Logged", "Not Logged"))</f>
        <v>Logged</v>
      </c>
      <c r="R23" s="19">
        <f>COUNTIFS(TableCleaned[[#This Row],[ChangeNeeded]],"Changed",TableCleaned[[#This Row],[ChangeLog_Status]], "Not Logged")</f>
        <v>0</v>
      </c>
      <c r="S23" s="19">
        <f>COUNTIFS(TableCleaned[[#This Row],[ChangeNeeded]],"No Changed",TableCleaned[[#This Row],[ChangeLog_Status]], "Logged")</f>
        <v>0</v>
      </c>
    </row>
    <row r="24" spans="1:19" x14ac:dyDescent="0.35">
      <c r="A24" s="8">
        <f t="shared" si="0"/>
        <v>23</v>
      </c>
      <c r="B24" s="8" t="s">
        <v>8</v>
      </c>
      <c r="C24" s="8" t="s">
        <v>13</v>
      </c>
      <c r="D24" s="9">
        <v>45718</v>
      </c>
      <c r="E24" s="21">
        <v>1000000</v>
      </c>
      <c r="F24" s="9">
        <v>45841</v>
      </c>
      <c r="G24" s="9"/>
      <c r="H24" s="19">
        <f>'5.Report_Info'!$A$2-'4.Cleaned_Data'!$F24</f>
        <v>152</v>
      </c>
      <c r="I24" s="8" t="str">
        <f t="shared" si="1"/>
        <v>91+ days</v>
      </c>
      <c r="J24" s="24" cm="1">
        <f t="array" ref="J24">TableReport[Report_Date]-TableCleaned[[#This Row],[PaymentDate]]</f>
        <v>152</v>
      </c>
      <c r="K24" s="22" t="str">
        <f>IF(AND(ISNUMBER(TableCleaned[[#This Row],[InvoiceDate]]),ISNUMBER(TableCleaned[[#This Row],[PaymentDate]])),"OK","Inconsistent")</f>
        <v>OK</v>
      </c>
      <c r="L24" s="22" t="str" cm="1">
        <f t="array" ref="L24">IF(ISNUMBER(TableCleaned[[#This Row],[InvoiceDate]]),IF(TableCleaned[[#This Row],[InvoiceDate]]&lt;(TableReport[Report_Date]-120),"Outdated","OK"),"Missing Date")</f>
        <v>Outdated</v>
      </c>
      <c r="M24" s="22" t="str">
        <f>TableCleaned[[#This Row],[CustomerID]]&amp; " - " &amp; TEXT(TableCleaned[[#This Row],[PaymentDate]],"yyy-mm-dd")</f>
        <v>C003 - 2025-07-03</v>
      </c>
      <c r="N24" s="22" t="str">
        <f>IF(COUNTIF(TableCleaned[Check_InvoiceDate],TableCleaned[[#This Row],[Check_InvoiceDate]])&gt;1, "Duplicate", "OK")</f>
        <v>OK</v>
      </c>
      <c r="O24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24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24" s="22" t="str">
        <f>IF(TableCleaned[[#This Row],[ChangeNeeded]]="No Change", "No Change Needed",IF(COUNTIF(TableChangeLog[RowID],TableCleaned[[#This Row],[RowID]])&gt;0, "Logged", "Not Logged"))</f>
        <v>Not Logged</v>
      </c>
      <c r="R24" s="19">
        <f>COUNTIFS(TableCleaned[[#This Row],[ChangeNeeded]],"Changed",TableCleaned[[#This Row],[ChangeLog_Status]], "Not Logged")</f>
        <v>1</v>
      </c>
      <c r="S24" s="19">
        <f>COUNTIFS(TableCleaned[[#This Row],[ChangeNeeded]],"No Changed",TableCleaned[[#This Row],[ChangeLog_Status]], "Logged")</f>
        <v>0</v>
      </c>
    </row>
    <row r="25" spans="1:19" x14ac:dyDescent="0.35">
      <c r="A25" s="8">
        <f t="shared" si="0"/>
        <v>24</v>
      </c>
      <c r="B25" s="8" t="s">
        <v>8</v>
      </c>
      <c r="C25" s="8" t="s">
        <v>13</v>
      </c>
      <c r="D25" s="9">
        <v>45697</v>
      </c>
      <c r="E25" s="21">
        <v>700000</v>
      </c>
      <c r="F25" s="9">
        <v>45826</v>
      </c>
      <c r="G25" s="9"/>
      <c r="H25" s="19">
        <f>'5.Report_Info'!$A$2-'4.Cleaned_Data'!$F25</f>
        <v>167</v>
      </c>
      <c r="I25" s="8" t="str">
        <f t="shared" si="1"/>
        <v>91+ days</v>
      </c>
      <c r="J25" s="24" cm="1">
        <f t="array" ref="J25">TableReport[Report_Date]-TableCleaned[[#This Row],[PaymentDate]]</f>
        <v>167</v>
      </c>
      <c r="K25" s="22" t="str">
        <f>IF(AND(ISNUMBER(TableCleaned[[#This Row],[InvoiceDate]]),ISNUMBER(TableCleaned[[#This Row],[PaymentDate]])),"OK","Inconsistent")</f>
        <v>OK</v>
      </c>
      <c r="L25" s="22" t="str" cm="1">
        <f t="array" ref="L25">IF(ISNUMBER(TableCleaned[[#This Row],[InvoiceDate]]),IF(TableCleaned[[#This Row],[InvoiceDate]]&lt;(TableReport[Report_Date]-120),"Outdated","OK"),"Missing Date")</f>
        <v>Outdated</v>
      </c>
      <c r="M25" s="22" t="str">
        <f>TableCleaned[[#This Row],[CustomerID]]&amp; " - " &amp; TEXT(TableCleaned[[#This Row],[PaymentDate]],"yyy-mm-dd")</f>
        <v>C003 - 2025-06-18</v>
      </c>
      <c r="N25" s="22" t="str">
        <f>IF(COUNTIF(TableCleaned[Check_InvoiceDate],TableCleaned[[#This Row],[Check_InvoiceDate]])&gt;1, "Duplicate", "OK")</f>
        <v>OK</v>
      </c>
      <c r="O25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25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25" s="22" t="str">
        <f>IF(TableCleaned[[#This Row],[ChangeNeeded]]="No Change", "No Change Needed",IF(COUNTIF(TableChangeLog[RowID],TableCleaned[[#This Row],[RowID]])&gt;0, "Logged", "Not Logged"))</f>
        <v>Not Logged</v>
      </c>
      <c r="R25" s="19">
        <f>COUNTIFS(TableCleaned[[#This Row],[ChangeNeeded]],"Changed",TableCleaned[[#This Row],[ChangeLog_Status]], "Not Logged")</f>
        <v>1</v>
      </c>
      <c r="S25" s="19">
        <f>COUNTIFS(TableCleaned[[#This Row],[ChangeNeeded]],"No Changed",TableCleaned[[#This Row],[ChangeLog_Status]], "Logged")</f>
        <v>0</v>
      </c>
    </row>
    <row r="26" spans="1:19" x14ac:dyDescent="0.35">
      <c r="A26" s="8">
        <f t="shared" si="0"/>
        <v>25</v>
      </c>
      <c r="B26" s="8" t="s">
        <v>8</v>
      </c>
      <c r="C26" s="8" t="s">
        <v>13</v>
      </c>
      <c r="D26" s="9">
        <v>45795</v>
      </c>
      <c r="E26" s="21">
        <v>100000</v>
      </c>
      <c r="F26" s="9">
        <v>45845</v>
      </c>
      <c r="G26" s="9"/>
      <c r="H26" s="19">
        <f>'5.Report_Info'!$A$2-'4.Cleaned_Data'!$F26</f>
        <v>148</v>
      </c>
      <c r="I26" s="8" t="str">
        <f t="shared" si="1"/>
        <v>91+ days</v>
      </c>
      <c r="J26" s="24" cm="1">
        <f t="array" ref="J26">TableReport[Report_Date]-TableCleaned[[#This Row],[PaymentDate]]</f>
        <v>148</v>
      </c>
      <c r="K26" s="22" t="str">
        <f>IF(AND(ISNUMBER(TableCleaned[[#This Row],[InvoiceDate]]),ISNUMBER(TableCleaned[[#This Row],[PaymentDate]])),"OK","Inconsistent")</f>
        <v>OK</v>
      </c>
      <c r="L26" s="22" t="str" cm="1">
        <f t="array" ref="L26">IF(ISNUMBER(TableCleaned[[#This Row],[InvoiceDate]]),IF(TableCleaned[[#This Row],[InvoiceDate]]&lt;(TableReport[Report_Date]-120),"Outdated","OK"),"Missing Date")</f>
        <v>Outdated</v>
      </c>
      <c r="M26" s="22" t="str">
        <f>TableCleaned[[#This Row],[CustomerID]]&amp; " - " &amp; TEXT(TableCleaned[[#This Row],[PaymentDate]],"yyy-mm-dd")</f>
        <v>C003 - 2025-07-07</v>
      </c>
      <c r="N26" s="22" t="str">
        <f>IF(COUNTIF(TableCleaned[Check_InvoiceDate],TableCleaned[[#This Row],[Check_InvoiceDate]])&gt;1, "Duplicate", "OK")</f>
        <v>OK</v>
      </c>
      <c r="O26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26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26" s="22" t="str">
        <f>IF(TableCleaned[[#This Row],[ChangeNeeded]]="No Change", "No Change Needed",IF(COUNTIF(TableChangeLog[RowID],TableCleaned[[#This Row],[RowID]])&gt;0, "Logged", "Not Logged"))</f>
        <v>Not Logged</v>
      </c>
      <c r="R26" s="19">
        <f>COUNTIFS(TableCleaned[[#This Row],[ChangeNeeded]],"Changed",TableCleaned[[#This Row],[ChangeLog_Status]], "Not Logged")</f>
        <v>1</v>
      </c>
      <c r="S26" s="19">
        <f>COUNTIFS(TableCleaned[[#This Row],[ChangeNeeded]],"No Changed",TableCleaned[[#This Row],[ChangeLog_Status]], "Logged")</f>
        <v>0</v>
      </c>
    </row>
    <row r="27" spans="1:19" x14ac:dyDescent="0.35">
      <c r="A27" s="8">
        <f t="shared" si="0"/>
        <v>26</v>
      </c>
      <c r="B27" s="8" t="s">
        <v>8</v>
      </c>
      <c r="C27" s="8" t="s">
        <v>13</v>
      </c>
      <c r="D27" s="9">
        <v>45947</v>
      </c>
      <c r="E27" s="21">
        <v>1000000</v>
      </c>
      <c r="F27" s="9">
        <v>45986</v>
      </c>
      <c r="G27" s="9"/>
      <c r="H27" s="19">
        <f>'5.Report_Info'!$A$2-'4.Cleaned_Data'!$F27</f>
        <v>7</v>
      </c>
      <c r="I27" s="8" t="str">
        <f t="shared" si="1"/>
        <v>0-30 days</v>
      </c>
      <c r="J27" s="24" cm="1">
        <f t="array" ref="J27">TableReport[Report_Date]-TableCleaned[[#This Row],[PaymentDate]]</f>
        <v>7</v>
      </c>
      <c r="K27" s="22" t="str">
        <f>IF(AND(ISNUMBER(TableCleaned[[#This Row],[InvoiceDate]]),ISNUMBER(TableCleaned[[#This Row],[PaymentDate]])),"OK","Inconsistent")</f>
        <v>OK</v>
      </c>
      <c r="L27" s="22" t="str" cm="1">
        <f t="array" ref="L27">IF(ISNUMBER(TableCleaned[[#This Row],[InvoiceDate]]),IF(TableCleaned[[#This Row],[InvoiceDate]]&lt;(TableReport[Report_Date]-120),"Outdated","OK"),"Missing Date")</f>
        <v>OK</v>
      </c>
      <c r="M27" s="22" t="str">
        <f>TableCleaned[[#This Row],[CustomerID]]&amp; " - " &amp; TEXT(TableCleaned[[#This Row],[PaymentDate]],"yyy-mm-dd")</f>
        <v>C003 - 2025-11-25</v>
      </c>
      <c r="N27" s="22" t="str">
        <f>IF(COUNTIF(TableCleaned[Check_InvoiceDate],TableCleaned[[#This Row],[Check_InvoiceDate]])&gt;1, "Duplicate", "OK")</f>
        <v>OK</v>
      </c>
      <c r="O27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27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No Change</v>
      </c>
      <c r="Q27" s="22" t="str">
        <f>IF(TableCleaned[[#This Row],[ChangeNeeded]]="No Change", "No Change Needed",IF(COUNTIF(TableChangeLog[RowID],TableCleaned[[#This Row],[RowID]])&gt;0, "Logged", "Not Logged"))</f>
        <v>No Change Needed</v>
      </c>
      <c r="R27" s="19">
        <f>COUNTIFS(TableCleaned[[#This Row],[ChangeNeeded]],"Changed",TableCleaned[[#This Row],[ChangeLog_Status]], "Not Logged")</f>
        <v>0</v>
      </c>
      <c r="S27" s="19">
        <f>COUNTIFS(TableCleaned[[#This Row],[ChangeNeeded]],"No Changed",TableCleaned[[#This Row],[ChangeLog_Status]], "Logged")</f>
        <v>0</v>
      </c>
    </row>
    <row r="28" spans="1:19" x14ac:dyDescent="0.35">
      <c r="A28" s="8">
        <f t="shared" si="0"/>
        <v>27</v>
      </c>
      <c r="B28" s="8" t="s">
        <v>8</v>
      </c>
      <c r="C28" s="8" t="s">
        <v>13</v>
      </c>
      <c r="D28" s="9">
        <v>45843</v>
      </c>
      <c r="E28" s="21">
        <v>700000</v>
      </c>
      <c r="F28" s="9">
        <v>45874</v>
      </c>
      <c r="G28" s="9"/>
      <c r="H28" s="19">
        <f>'5.Report_Info'!$A$2-'4.Cleaned_Data'!$F28</f>
        <v>119</v>
      </c>
      <c r="I28" s="8" t="str">
        <f t="shared" si="1"/>
        <v>91+ days</v>
      </c>
      <c r="J28" s="24" cm="1">
        <f t="array" ref="J28">TableReport[Report_Date]-TableCleaned[[#This Row],[PaymentDate]]</f>
        <v>119</v>
      </c>
      <c r="K28" s="22" t="str">
        <f>IF(AND(ISNUMBER(TableCleaned[[#This Row],[InvoiceDate]]),ISNUMBER(TableCleaned[[#This Row],[PaymentDate]])),"OK","Inconsistent")</f>
        <v>OK</v>
      </c>
      <c r="L28" s="22" t="str" cm="1">
        <f t="array" ref="L28">IF(ISNUMBER(TableCleaned[[#This Row],[InvoiceDate]]),IF(TableCleaned[[#This Row],[InvoiceDate]]&lt;(TableReport[Report_Date]-120),"Outdated","OK"),"Missing Date")</f>
        <v>Outdated</v>
      </c>
      <c r="M28" s="22" t="str">
        <f>TableCleaned[[#This Row],[CustomerID]]&amp; " - " &amp; TEXT(TableCleaned[[#This Row],[PaymentDate]],"yyy-mm-dd")</f>
        <v>C003 - 2025-08-05</v>
      </c>
      <c r="N28" s="22" t="str">
        <f>IF(COUNTIF(TableCleaned[Check_InvoiceDate],TableCleaned[[#This Row],[Check_InvoiceDate]])&gt;1, "Duplicate", "OK")</f>
        <v>OK</v>
      </c>
      <c r="O28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28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28" s="22" t="str">
        <f>IF(TableCleaned[[#This Row],[ChangeNeeded]]="No Change", "No Change Needed",IF(COUNTIF(TableChangeLog[RowID],TableCleaned[[#This Row],[RowID]])&gt;0, "Logged", "Not Logged"))</f>
        <v>Not Logged</v>
      </c>
      <c r="R28" s="19">
        <f>COUNTIFS(TableCleaned[[#This Row],[ChangeNeeded]],"Changed",TableCleaned[[#This Row],[ChangeLog_Status]], "Not Logged")</f>
        <v>1</v>
      </c>
      <c r="S28" s="19">
        <f>COUNTIFS(TableCleaned[[#This Row],[ChangeNeeded]],"No Changed",TableCleaned[[#This Row],[ChangeLog_Status]], "Logged")</f>
        <v>0</v>
      </c>
    </row>
    <row r="29" spans="1:19" x14ac:dyDescent="0.35">
      <c r="A29" s="8">
        <f t="shared" si="0"/>
        <v>28</v>
      </c>
      <c r="B29" s="8" t="s">
        <v>8</v>
      </c>
      <c r="C29" s="8" t="s">
        <v>13</v>
      </c>
      <c r="D29" s="9">
        <v>45882</v>
      </c>
      <c r="E29" s="21">
        <v>1000000</v>
      </c>
      <c r="F29" s="9">
        <v>45914</v>
      </c>
      <c r="G29" s="9"/>
      <c r="H29" s="19">
        <f>'5.Report_Info'!$A$2-'4.Cleaned_Data'!$F29</f>
        <v>79</v>
      </c>
      <c r="I29" s="8" t="str">
        <f t="shared" si="1"/>
        <v>61-90 days</v>
      </c>
      <c r="J29" s="24" cm="1">
        <f t="array" ref="J29">TableReport[Report_Date]-TableCleaned[[#This Row],[PaymentDate]]</f>
        <v>79</v>
      </c>
      <c r="K29" s="22" t="str">
        <f>IF(AND(ISNUMBER(TableCleaned[[#This Row],[InvoiceDate]]),ISNUMBER(TableCleaned[[#This Row],[PaymentDate]])),"OK","Inconsistent")</f>
        <v>OK</v>
      </c>
      <c r="L29" s="22" t="str" cm="1">
        <f t="array" ref="L29">IF(ISNUMBER(TableCleaned[[#This Row],[InvoiceDate]]),IF(TableCleaned[[#This Row],[InvoiceDate]]&lt;(TableReport[Report_Date]-120),"Outdated","OK"),"Missing Date")</f>
        <v>OK</v>
      </c>
      <c r="M29" s="22" t="str">
        <f>TableCleaned[[#This Row],[CustomerID]]&amp; " - " &amp; TEXT(TableCleaned[[#This Row],[PaymentDate]],"yyy-mm-dd")</f>
        <v>C003 - 2025-09-14</v>
      </c>
      <c r="N29" s="22" t="str">
        <f>IF(COUNTIF(TableCleaned[Check_InvoiceDate],TableCleaned[[#This Row],[Check_InvoiceDate]])&gt;1, "Duplicate", "OK")</f>
        <v>OK</v>
      </c>
      <c r="O29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29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No Change</v>
      </c>
      <c r="Q29" s="22" t="str">
        <f>IF(TableCleaned[[#This Row],[ChangeNeeded]]="No Change", "No Change Needed",IF(COUNTIF(TableChangeLog[RowID],TableCleaned[[#This Row],[RowID]])&gt;0, "Logged", "Not Logged"))</f>
        <v>No Change Needed</v>
      </c>
      <c r="R29" s="19">
        <f>COUNTIFS(TableCleaned[[#This Row],[ChangeNeeded]],"Changed",TableCleaned[[#This Row],[ChangeLog_Status]], "Not Logged")</f>
        <v>0</v>
      </c>
      <c r="S29" s="19">
        <f>COUNTIFS(TableCleaned[[#This Row],[ChangeNeeded]],"No Changed",TableCleaned[[#This Row],[ChangeLog_Status]], "Logged")</f>
        <v>0</v>
      </c>
    </row>
    <row r="30" spans="1:19" x14ac:dyDescent="0.35">
      <c r="A30" s="8">
        <f t="shared" si="0"/>
        <v>29</v>
      </c>
      <c r="B30" s="8" t="s">
        <v>8</v>
      </c>
      <c r="C30" s="8" t="s">
        <v>13</v>
      </c>
      <c r="D30" s="9">
        <v>45770</v>
      </c>
      <c r="E30" s="21">
        <v>1000000</v>
      </c>
      <c r="F30" s="9">
        <v>45955</v>
      </c>
      <c r="G30" s="9"/>
      <c r="H30" s="19">
        <f>'5.Report_Info'!$A$2-'4.Cleaned_Data'!$F30</f>
        <v>38</v>
      </c>
      <c r="I30" s="8" t="str">
        <f t="shared" si="1"/>
        <v>31-60 days</v>
      </c>
      <c r="J30" s="24" cm="1">
        <f t="array" ref="J30">TableReport[Report_Date]-TableCleaned[[#This Row],[PaymentDate]]</f>
        <v>38</v>
      </c>
      <c r="K30" s="22" t="str">
        <f>IF(AND(ISNUMBER(TableCleaned[[#This Row],[InvoiceDate]]),ISNUMBER(TableCleaned[[#This Row],[PaymentDate]])),"OK","Inconsistent")</f>
        <v>OK</v>
      </c>
      <c r="L30" s="22" t="str" cm="1">
        <f t="array" ref="L30">IF(ISNUMBER(TableCleaned[[#This Row],[InvoiceDate]]),IF(TableCleaned[[#This Row],[InvoiceDate]]&lt;(TableReport[Report_Date]-120),"Outdated","OK"),"Missing Date")</f>
        <v>Outdated</v>
      </c>
      <c r="M30" s="22" t="str">
        <f>TableCleaned[[#This Row],[CustomerID]]&amp; " - " &amp; TEXT(TableCleaned[[#This Row],[PaymentDate]],"yyy-mm-dd")</f>
        <v>C003 - 2025-10-25</v>
      </c>
      <c r="N30" s="22" t="str">
        <f>IF(COUNTIF(TableCleaned[Check_InvoiceDate],TableCleaned[[#This Row],[Check_InvoiceDate]])&gt;1, "Duplicate", "OK")</f>
        <v>OK</v>
      </c>
      <c r="O30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30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30" s="22" t="str">
        <f>IF(TableCleaned[[#This Row],[ChangeNeeded]]="No Change", "No Change Needed",IF(COUNTIF(TableChangeLog[RowID],TableCleaned[[#This Row],[RowID]])&gt;0, "Logged", "Not Logged"))</f>
        <v>Not Logged</v>
      </c>
      <c r="R30" s="19">
        <f>COUNTIFS(TableCleaned[[#This Row],[ChangeNeeded]],"Changed",TableCleaned[[#This Row],[ChangeLog_Status]], "Not Logged")</f>
        <v>1</v>
      </c>
      <c r="S30" s="19">
        <f>COUNTIFS(TableCleaned[[#This Row],[ChangeNeeded]],"No Changed",TableCleaned[[#This Row],[ChangeLog_Status]], "Logged")</f>
        <v>0</v>
      </c>
    </row>
    <row r="31" spans="1:19" x14ac:dyDescent="0.35">
      <c r="A31" s="8">
        <f t="shared" si="0"/>
        <v>30</v>
      </c>
      <c r="B31" s="8" t="s">
        <v>8</v>
      </c>
      <c r="C31" s="8" t="s">
        <v>13</v>
      </c>
      <c r="D31" s="9">
        <v>45965</v>
      </c>
      <c r="E31" s="21">
        <v>700000</v>
      </c>
      <c r="F31" s="9">
        <v>45979</v>
      </c>
      <c r="G31" s="9"/>
      <c r="H31" s="19">
        <f>'5.Report_Info'!$A$2-'4.Cleaned_Data'!$F31</f>
        <v>14</v>
      </c>
      <c r="I31" s="8" t="str">
        <f t="shared" si="1"/>
        <v>0-30 days</v>
      </c>
      <c r="J31" s="24" cm="1">
        <f t="array" ref="J31">TableReport[Report_Date]-TableCleaned[[#This Row],[PaymentDate]]</f>
        <v>14</v>
      </c>
      <c r="K31" s="22" t="str">
        <f>IF(AND(ISNUMBER(TableCleaned[[#This Row],[InvoiceDate]]),ISNUMBER(TableCleaned[[#This Row],[PaymentDate]])),"OK","Inconsistent")</f>
        <v>OK</v>
      </c>
      <c r="L31" s="22" t="str" cm="1">
        <f t="array" ref="L31">IF(ISNUMBER(TableCleaned[[#This Row],[InvoiceDate]]),IF(TableCleaned[[#This Row],[InvoiceDate]]&lt;(TableReport[Report_Date]-120),"Outdated","OK"),"Missing Date")</f>
        <v>OK</v>
      </c>
      <c r="M31" s="22" t="str">
        <f>TableCleaned[[#This Row],[CustomerID]]&amp; " - " &amp; TEXT(TableCleaned[[#This Row],[PaymentDate]],"yyy-mm-dd")</f>
        <v>C003 - 2025-11-18</v>
      </c>
      <c r="N31" s="22" t="str">
        <f>IF(COUNTIF(TableCleaned[Check_InvoiceDate],TableCleaned[[#This Row],[Check_InvoiceDate]])&gt;1, "Duplicate", "OK")</f>
        <v>OK</v>
      </c>
      <c r="O31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31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No Change</v>
      </c>
      <c r="Q31" s="22" t="str">
        <f>IF(TableCleaned[[#This Row],[ChangeNeeded]]="No Change", "No Change Needed",IF(COUNTIF(TableChangeLog[RowID],TableCleaned[[#This Row],[RowID]])&gt;0, "Logged", "Not Logged"))</f>
        <v>No Change Needed</v>
      </c>
      <c r="R31" s="19">
        <f>COUNTIFS(TableCleaned[[#This Row],[ChangeNeeded]],"Changed",TableCleaned[[#This Row],[ChangeLog_Status]], "Not Logged")</f>
        <v>0</v>
      </c>
      <c r="S31" s="19">
        <f>COUNTIFS(TableCleaned[[#This Row],[ChangeNeeded]],"No Changed",TableCleaned[[#This Row],[ChangeLog_Status]], "Logged")</f>
        <v>0</v>
      </c>
    </row>
    <row r="32" spans="1:19" x14ac:dyDescent="0.35">
      <c r="A32" s="8">
        <f t="shared" si="0"/>
        <v>31</v>
      </c>
      <c r="B32" s="8" t="s">
        <v>8</v>
      </c>
      <c r="C32" s="8" t="s">
        <v>13</v>
      </c>
      <c r="D32" s="9">
        <v>45682</v>
      </c>
      <c r="E32" s="21">
        <v>1000000</v>
      </c>
      <c r="F32" s="9">
        <v>45926</v>
      </c>
      <c r="G32" s="9"/>
      <c r="H32" s="19">
        <f>'5.Report_Info'!$A$2-'4.Cleaned_Data'!$F32</f>
        <v>67</v>
      </c>
      <c r="I32" s="8" t="str">
        <f t="shared" si="1"/>
        <v>61-90 days</v>
      </c>
      <c r="J32" s="24" cm="1">
        <f t="array" ref="J32">TableReport[Report_Date]-TableCleaned[[#This Row],[PaymentDate]]</f>
        <v>67</v>
      </c>
      <c r="K32" s="22" t="str">
        <f>IF(AND(ISNUMBER(TableCleaned[[#This Row],[InvoiceDate]]),ISNUMBER(TableCleaned[[#This Row],[PaymentDate]])),"OK","Inconsistent")</f>
        <v>OK</v>
      </c>
      <c r="L32" s="22" t="str" cm="1">
        <f t="array" ref="L32">IF(ISNUMBER(TableCleaned[[#This Row],[InvoiceDate]]),IF(TableCleaned[[#This Row],[InvoiceDate]]&lt;(TableReport[Report_Date]-120),"Outdated","OK"),"Missing Date")</f>
        <v>Outdated</v>
      </c>
      <c r="M32" s="22" t="str">
        <f>TableCleaned[[#This Row],[CustomerID]]&amp; " - " &amp; TEXT(TableCleaned[[#This Row],[PaymentDate]],"yyy-mm-dd")</f>
        <v>C003 - 2025-09-26</v>
      </c>
      <c r="N32" s="22" t="str">
        <f>IF(COUNTIF(TableCleaned[Check_InvoiceDate],TableCleaned[[#This Row],[Check_InvoiceDate]])&gt;1, "Duplicate", "OK")</f>
        <v>OK</v>
      </c>
      <c r="O32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32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32" s="22" t="str">
        <f>IF(TableCleaned[[#This Row],[ChangeNeeded]]="No Change", "No Change Needed",IF(COUNTIF(TableChangeLog[RowID],TableCleaned[[#This Row],[RowID]])&gt;0, "Logged", "Not Logged"))</f>
        <v>Not Logged</v>
      </c>
      <c r="R32" s="19">
        <f>COUNTIFS(TableCleaned[[#This Row],[ChangeNeeded]],"Changed",TableCleaned[[#This Row],[ChangeLog_Status]], "Not Logged")</f>
        <v>1</v>
      </c>
      <c r="S32" s="19">
        <f>COUNTIFS(TableCleaned[[#This Row],[ChangeNeeded]],"No Changed",TableCleaned[[#This Row],[ChangeLog_Status]], "Logged")</f>
        <v>0</v>
      </c>
    </row>
    <row r="33" spans="1:19" x14ac:dyDescent="0.35">
      <c r="A33" s="8">
        <f t="shared" si="0"/>
        <v>32</v>
      </c>
      <c r="B33" s="8" t="s">
        <v>8</v>
      </c>
      <c r="C33" s="8" t="s">
        <v>13</v>
      </c>
      <c r="D33" s="7">
        <v>45734</v>
      </c>
      <c r="E33" s="21">
        <v>1000000</v>
      </c>
      <c r="F33" s="7">
        <v>45924</v>
      </c>
      <c r="G33" s="7"/>
      <c r="H33" s="19">
        <f>'5.Report_Info'!$A$2-'4.Cleaned_Data'!$F33</f>
        <v>69</v>
      </c>
      <c r="I33" s="8" t="str">
        <f t="shared" si="1"/>
        <v>61-90 days</v>
      </c>
      <c r="J33" s="24" cm="1">
        <f t="array" ref="J33">TableReport[Report_Date]-TableCleaned[[#This Row],[PaymentDate]]</f>
        <v>69</v>
      </c>
      <c r="K33" s="22" t="str">
        <f>IF(AND(ISNUMBER(TableCleaned[[#This Row],[InvoiceDate]]),ISNUMBER(TableCleaned[[#This Row],[PaymentDate]])),"OK","Inconsistent")</f>
        <v>OK</v>
      </c>
      <c r="L33" s="22" t="str" cm="1">
        <f t="array" ref="L33">IF(ISNUMBER(TableCleaned[[#This Row],[InvoiceDate]]),IF(TableCleaned[[#This Row],[InvoiceDate]]&lt;(TableReport[Report_Date]-120),"Outdated","OK"),"Missing Date")</f>
        <v>Outdated</v>
      </c>
      <c r="M33" s="22" t="str">
        <f>TableCleaned[[#This Row],[CustomerID]]&amp; " - " &amp; TEXT(TableCleaned[[#This Row],[PaymentDate]],"yyy-mm-dd")</f>
        <v>C003 - 2025-09-24</v>
      </c>
      <c r="N33" s="22" t="str">
        <f>IF(COUNTIF(TableCleaned[Check_InvoiceDate],TableCleaned[[#This Row],[Check_InvoiceDate]])&gt;1, "Duplicate", "OK")</f>
        <v>OK</v>
      </c>
      <c r="O33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33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33" s="22" t="str">
        <f>IF(TableCleaned[[#This Row],[ChangeNeeded]]="No Change", "No Change Needed",IF(COUNTIF(TableChangeLog[RowID],TableCleaned[[#This Row],[RowID]])&gt;0, "Logged", "Not Logged"))</f>
        <v>Not Logged</v>
      </c>
      <c r="R33" s="19">
        <f>COUNTIFS(TableCleaned[[#This Row],[ChangeNeeded]],"Changed",TableCleaned[[#This Row],[ChangeLog_Status]], "Not Logged")</f>
        <v>1</v>
      </c>
      <c r="S33" s="19">
        <f>COUNTIFS(TableCleaned[[#This Row],[ChangeNeeded]],"No Changed",TableCleaned[[#This Row],[ChangeLog_Status]], "Logged")</f>
        <v>0</v>
      </c>
    </row>
    <row r="34" spans="1:19" x14ac:dyDescent="0.35">
      <c r="A34" s="8">
        <f t="shared" ref="A34:A52" si="2">ROW()-1</f>
        <v>33</v>
      </c>
      <c r="B34" s="8" t="s">
        <v>8</v>
      </c>
      <c r="C34" s="8" t="s">
        <v>13</v>
      </c>
      <c r="D34" s="9">
        <v>45752</v>
      </c>
      <c r="E34" s="21">
        <v>700000</v>
      </c>
      <c r="F34" s="9">
        <v>45936</v>
      </c>
      <c r="G34" s="9"/>
      <c r="H34" s="19">
        <f>'5.Report_Info'!$A$2-'4.Cleaned_Data'!$F34</f>
        <v>57</v>
      </c>
      <c r="I34" s="8" t="str">
        <f t="shared" si="1"/>
        <v>31-60 days</v>
      </c>
      <c r="J34" s="24" cm="1">
        <f t="array" ref="J34">TableReport[Report_Date]-TableCleaned[[#This Row],[PaymentDate]]</f>
        <v>57</v>
      </c>
      <c r="K34" s="22" t="str">
        <f>IF(AND(ISNUMBER(TableCleaned[[#This Row],[InvoiceDate]]),ISNUMBER(TableCleaned[[#This Row],[PaymentDate]])),"OK","Inconsistent")</f>
        <v>OK</v>
      </c>
      <c r="L34" s="22" t="str" cm="1">
        <f t="array" ref="L34">IF(ISNUMBER(TableCleaned[[#This Row],[InvoiceDate]]),IF(TableCleaned[[#This Row],[InvoiceDate]]&lt;(TableReport[Report_Date]-120),"Outdated","OK"),"Missing Date")</f>
        <v>Outdated</v>
      </c>
      <c r="M34" s="22" t="str">
        <f>TableCleaned[[#This Row],[CustomerID]]&amp; " - " &amp; TEXT(TableCleaned[[#This Row],[PaymentDate]],"yyy-mm-dd")</f>
        <v>C003 - 2025-10-06</v>
      </c>
      <c r="N34" s="22" t="str">
        <f>IF(COUNTIF(TableCleaned[Check_InvoiceDate],TableCleaned[[#This Row],[Check_InvoiceDate]])&gt;1, "Duplicate", "OK")</f>
        <v>OK</v>
      </c>
      <c r="O34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34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34" s="22" t="str">
        <f>IF(TableCleaned[[#This Row],[ChangeNeeded]]="No Change", "No Change Needed",IF(COUNTIF(TableChangeLog[RowID],TableCleaned[[#This Row],[RowID]])&gt;0, "Logged", "Not Logged"))</f>
        <v>Not Logged</v>
      </c>
      <c r="R34" s="19">
        <f>COUNTIFS(TableCleaned[[#This Row],[ChangeNeeded]],"Changed",TableCleaned[[#This Row],[ChangeLog_Status]], "Not Logged")</f>
        <v>1</v>
      </c>
      <c r="S34" s="19">
        <f>COUNTIFS(TableCleaned[[#This Row],[ChangeNeeded]],"No Changed",TableCleaned[[#This Row],[ChangeLog_Status]], "Logged")</f>
        <v>0</v>
      </c>
    </row>
    <row r="35" spans="1:19" x14ac:dyDescent="0.35">
      <c r="A35" s="8">
        <f t="shared" si="2"/>
        <v>34</v>
      </c>
      <c r="B35" s="8" t="s">
        <v>6</v>
      </c>
      <c r="C35" s="8" t="s">
        <v>11</v>
      </c>
      <c r="D35" s="9">
        <v>45916</v>
      </c>
      <c r="E35" s="21">
        <v>1200000</v>
      </c>
      <c r="F35" s="9">
        <v>45947</v>
      </c>
      <c r="G35" s="9"/>
      <c r="H35" s="19">
        <f>'5.Report_Info'!$A$2-'4.Cleaned_Data'!$F35</f>
        <v>46</v>
      </c>
      <c r="I35" s="8" t="str">
        <f t="shared" si="1"/>
        <v>31-60 days</v>
      </c>
      <c r="J35" s="24" cm="1">
        <f t="array" ref="J35">TableReport[Report_Date]-TableCleaned[[#This Row],[PaymentDate]]</f>
        <v>46</v>
      </c>
      <c r="K35" s="22" t="str">
        <f>IF(AND(ISNUMBER(TableCleaned[[#This Row],[InvoiceDate]]),ISNUMBER(TableCleaned[[#This Row],[PaymentDate]])),"OK","Inconsistent")</f>
        <v>OK</v>
      </c>
      <c r="L35" s="22" t="str" cm="1">
        <f t="array" ref="L35">IF(ISNUMBER(TableCleaned[[#This Row],[InvoiceDate]]),IF(TableCleaned[[#This Row],[InvoiceDate]]&lt;(TableReport[Report_Date]-120),"Outdated","OK"),"Missing Date")</f>
        <v>OK</v>
      </c>
      <c r="M35" s="22" t="str">
        <f>TableCleaned[[#This Row],[CustomerID]]&amp; " - " &amp; TEXT(TableCleaned[[#This Row],[PaymentDate]],"yyy-mm-dd")</f>
        <v>C004 - 2025-10-17</v>
      </c>
      <c r="N35" s="22" t="str">
        <f>IF(COUNTIF(TableCleaned[Check_InvoiceDate],TableCleaned[[#This Row],[Check_InvoiceDate]])&gt;1, "Duplicate", "OK")</f>
        <v>OK</v>
      </c>
      <c r="O35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35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No Change</v>
      </c>
      <c r="Q35" s="22" t="str">
        <f>IF(TableCleaned[[#This Row],[ChangeNeeded]]="No Change", "No Change Needed",IF(COUNTIF(TableChangeLog[RowID],TableCleaned[[#This Row],[RowID]])&gt;0, "Logged", "Not Logged"))</f>
        <v>No Change Needed</v>
      </c>
      <c r="R35" s="19">
        <f>COUNTIFS(TableCleaned[[#This Row],[ChangeNeeded]],"Changed",TableCleaned[[#This Row],[ChangeLog_Status]], "Not Logged")</f>
        <v>0</v>
      </c>
      <c r="S35" s="19">
        <f>COUNTIFS(TableCleaned[[#This Row],[ChangeNeeded]],"No Changed",TableCleaned[[#This Row],[ChangeLog_Status]], "Logged")</f>
        <v>0</v>
      </c>
    </row>
    <row r="36" spans="1:19" x14ac:dyDescent="0.35">
      <c r="A36" s="8">
        <f t="shared" si="2"/>
        <v>35</v>
      </c>
      <c r="B36" s="8" t="s">
        <v>6</v>
      </c>
      <c r="C36" s="8" t="s">
        <v>11</v>
      </c>
      <c r="D36" s="9">
        <v>45740</v>
      </c>
      <c r="E36" s="21">
        <v>1200000</v>
      </c>
      <c r="F36" s="9">
        <v>45986</v>
      </c>
      <c r="G36" s="9"/>
      <c r="H36" s="19">
        <f>'5.Report_Info'!$A$2-'4.Cleaned_Data'!$F36</f>
        <v>7</v>
      </c>
      <c r="I36" s="8" t="str">
        <f t="shared" si="1"/>
        <v>0-30 days</v>
      </c>
      <c r="J36" s="24" cm="1">
        <f t="array" ref="J36">TableReport[Report_Date]-TableCleaned[[#This Row],[PaymentDate]]</f>
        <v>7</v>
      </c>
      <c r="K36" s="22" t="str">
        <f>IF(AND(ISNUMBER(TableCleaned[[#This Row],[InvoiceDate]]),ISNUMBER(TableCleaned[[#This Row],[PaymentDate]])),"OK","Inconsistent")</f>
        <v>OK</v>
      </c>
      <c r="L36" s="22" t="str" cm="1">
        <f t="array" ref="L36">IF(ISNUMBER(TableCleaned[[#This Row],[InvoiceDate]]),IF(TableCleaned[[#This Row],[InvoiceDate]]&lt;(TableReport[Report_Date]-120),"Outdated","OK"),"Missing Date")</f>
        <v>Outdated</v>
      </c>
      <c r="M36" s="22" t="str">
        <f>TableCleaned[[#This Row],[CustomerID]]&amp; " - " &amp; TEXT(TableCleaned[[#This Row],[PaymentDate]],"yyy-mm-dd")</f>
        <v>C004 - 2025-11-25</v>
      </c>
      <c r="N36" s="22" t="str">
        <f>IF(COUNTIF(TableCleaned[Check_InvoiceDate],TableCleaned[[#This Row],[Check_InvoiceDate]])&gt;1, "Duplicate", "OK")</f>
        <v>OK</v>
      </c>
      <c r="O36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36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36" s="22" t="str">
        <f>IF(TableCleaned[[#This Row],[ChangeNeeded]]="No Change", "No Change Needed",IF(COUNTIF(TableChangeLog[RowID],TableCleaned[[#This Row],[RowID]])&gt;0, "Logged", "Not Logged"))</f>
        <v>Not Logged</v>
      </c>
      <c r="R36" s="19">
        <f>COUNTIFS(TableCleaned[[#This Row],[ChangeNeeded]],"Changed",TableCleaned[[#This Row],[ChangeLog_Status]], "Not Logged")</f>
        <v>1</v>
      </c>
      <c r="S36" s="19">
        <f>COUNTIFS(TableCleaned[[#This Row],[ChangeNeeded]],"No Changed",TableCleaned[[#This Row],[ChangeLog_Status]], "Logged")</f>
        <v>0</v>
      </c>
    </row>
    <row r="37" spans="1:19" x14ac:dyDescent="0.35">
      <c r="A37" s="8">
        <f t="shared" si="2"/>
        <v>36</v>
      </c>
      <c r="B37" s="8" t="s">
        <v>6</v>
      </c>
      <c r="C37" s="8" t="s">
        <v>11</v>
      </c>
      <c r="D37" s="7">
        <v>45692</v>
      </c>
      <c r="E37" s="21">
        <v>100000</v>
      </c>
      <c r="F37" s="7">
        <v>45926</v>
      </c>
      <c r="G37" s="7"/>
      <c r="H37" s="19">
        <f>'5.Report_Info'!$A$2-'4.Cleaned_Data'!$F37</f>
        <v>67</v>
      </c>
      <c r="I37" s="8" t="str">
        <f t="shared" si="1"/>
        <v>61-90 days</v>
      </c>
      <c r="J37" s="24" cm="1">
        <f t="array" ref="J37">TableReport[Report_Date]-TableCleaned[[#This Row],[PaymentDate]]</f>
        <v>67</v>
      </c>
      <c r="K37" s="22" t="str">
        <f>IF(AND(ISNUMBER(TableCleaned[[#This Row],[InvoiceDate]]),ISNUMBER(TableCleaned[[#This Row],[PaymentDate]])),"OK","Inconsistent")</f>
        <v>OK</v>
      </c>
      <c r="L37" s="22" t="str" cm="1">
        <f t="array" ref="L37">IF(ISNUMBER(TableCleaned[[#This Row],[InvoiceDate]]),IF(TableCleaned[[#This Row],[InvoiceDate]]&lt;(TableReport[Report_Date]-120),"Outdated","OK"),"Missing Date")</f>
        <v>Outdated</v>
      </c>
      <c r="M37" s="22" t="str">
        <f>TableCleaned[[#This Row],[CustomerID]]&amp; " - " &amp; TEXT(TableCleaned[[#This Row],[PaymentDate]],"yyy-mm-dd")</f>
        <v>C004 - 2025-09-26</v>
      </c>
      <c r="N37" s="22" t="str">
        <f>IF(COUNTIF(TableCleaned[Check_InvoiceDate],TableCleaned[[#This Row],[Check_InvoiceDate]])&gt;1, "Duplicate", "OK")</f>
        <v>OK</v>
      </c>
      <c r="O37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37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37" s="22" t="str">
        <f>IF(TableCleaned[[#This Row],[ChangeNeeded]]="No Change", "No Change Needed",IF(COUNTIF(TableChangeLog[RowID],TableCleaned[[#This Row],[RowID]])&gt;0, "Logged", "Not Logged"))</f>
        <v>Logged</v>
      </c>
      <c r="R37" s="19">
        <f>COUNTIFS(TableCleaned[[#This Row],[ChangeNeeded]],"Changed",TableCleaned[[#This Row],[ChangeLog_Status]], "Not Logged")</f>
        <v>0</v>
      </c>
      <c r="S37" s="19">
        <f>COUNTIFS(TableCleaned[[#This Row],[ChangeNeeded]],"No Changed",TableCleaned[[#This Row],[ChangeLog_Status]], "Logged")</f>
        <v>0</v>
      </c>
    </row>
    <row r="38" spans="1:19" x14ac:dyDescent="0.35">
      <c r="A38" s="8">
        <f t="shared" si="2"/>
        <v>37</v>
      </c>
      <c r="B38" s="8" t="s">
        <v>7</v>
      </c>
      <c r="C38" s="8" t="s">
        <v>12</v>
      </c>
      <c r="D38" s="9">
        <v>45732</v>
      </c>
      <c r="E38" s="21">
        <v>500000</v>
      </c>
      <c r="F38" s="9">
        <v>45899</v>
      </c>
      <c r="G38" s="9"/>
      <c r="H38" s="19">
        <f>'5.Report_Info'!$A$2-'4.Cleaned_Data'!$F38</f>
        <v>94</v>
      </c>
      <c r="I38" s="8" t="str">
        <f t="shared" si="1"/>
        <v>91+ days</v>
      </c>
      <c r="J38" s="24" cm="1">
        <f t="array" ref="J38">TableReport[Report_Date]-TableCleaned[[#This Row],[PaymentDate]]</f>
        <v>94</v>
      </c>
      <c r="K38" s="22" t="str">
        <f>IF(AND(ISNUMBER(TableCleaned[[#This Row],[InvoiceDate]]),ISNUMBER(TableCleaned[[#This Row],[PaymentDate]])),"OK","Inconsistent")</f>
        <v>OK</v>
      </c>
      <c r="L38" s="22" t="str" cm="1">
        <f t="array" ref="L38">IF(ISNUMBER(TableCleaned[[#This Row],[InvoiceDate]]),IF(TableCleaned[[#This Row],[InvoiceDate]]&lt;(TableReport[Report_Date]-120),"Outdated","OK"),"Missing Date")</f>
        <v>Outdated</v>
      </c>
      <c r="M38" s="22" t="str">
        <f>TableCleaned[[#This Row],[CustomerID]]&amp; " - " &amp; TEXT(TableCleaned[[#This Row],[PaymentDate]],"yyy-mm-dd")</f>
        <v>C005 - 2025-08-30</v>
      </c>
      <c r="N38" s="22" t="str">
        <f>IF(COUNTIF(TableCleaned[Check_InvoiceDate],TableCleaned[[#This Row],[Check_InvoiceDate]])&gt;1, "Duplicate", "OK")</f>
        <v>OK</v>
      </c>
      <c r="O38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38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38" s="22" t="str">
        <f>IF(TableCleaned[[#This Row],[ChangeNeeded]]="No Change", "No Change Needed",IF(COUNTIF(TableChangeLog[RowID],TableCleaned[[#This Row],[RowID]])&gt;0, "Logged", "Not Logged"))</f>
        <v>Not Logged</v>
      </c>
      <c r="R38" s="19">
        <f>COUNTIFS(TableCleaned[[#This Row],[ChangeNeeded]],"Changed",TableCleaned[[#This Row],[ChangeLog_Status]], "Not Logged")</f>
        <v>1</v>
      </c>
      <c r="S38" s="19">
        <f>COUNTIFS(TableCleaned[[#This Row],[ChangeNeeded]],"No Changed",TableCleaned[[#This Row],[ChangeLog_Status]], "Logged")</f>
        <v>0</v>
      </c>
    </row>
    <row r="39" spans="1:19" x14ac:dyDescent="0.35">
      <c r="A39" s="8">
        <f t="shared" si="2"/>
        <v>38</v>
      </c>
      <c r="B39" s="8" t="s">
        <v>7</v>
      </c>
      <c r="C39" s="8" t="s">
        <v>12</v>
      </c>
      <c r="D39" s="9">
        <v>45754</v>
      </c>
      <c r="E39" s="21">
        <v>100000</v>
      </c>
      <c r="F39" s="9">
        <v>45984</v>
      </c>
      <c r="G39" s="9"/>
      <c r="H39" s="19">
        <f>'5.Report_Info'!$A$2-'4.Cleaned_Data'!$F39</f>
        <v>9</v>
      </c>
      <c r="I39" s="8" t="str">
        <f t="shared" si="1"/>
        <v>0-30 days</v>
      </c>
      <c r="J39" s="24" cm="1">
        <f t="array" ref="J39">TableReport[Report_Date]-TableCleaned[[#This Row],[PaymentDate]]</f>
        <v>9</v>
      </c>
      <c r="K39" s="22" t="str">
        <f>IF(AND(ISNUMBER(TableCleaned[[#This Row],[InvoiceDate]]),ISNUMBER(TableCleaned[[#This Row],[PaymentDate]])),"OK","Inconsistent")</f>
        <v>OK</v>
      </c>
      <c r="L39" s="22" t="str" cm="1">
        <f t="array" ref="L39">IF(ISNUMBER(TableCleaned[[#This Row],[InvoiceDate]]),IF(TableCleaned[[#This Row],[InvoiceDate]]&lt;(TableReport[Report_Date]-120),"Outdated","OK"),"Missing Date")</f>
        <v>Outdated</v>
      </c>
      <c r="M39" s="22" t="str">
        <f>TableCleaned[[#This Row],[CustomerID]]&amp; " - " &amp; TEXT(TableCleaned[[#This Row],[PaymentDate]],"yyy-mm-dd")</f>
        <v>C005 - 2025-11-23</v>
      </c>
      <c r="N39" s="22" t="str">
        <f>IF(COUNTIF(TableCleaned[Check_InvoiceDate],TableCleaned[[#This Row],[Check_InvoiceDate]])&gt;1, "Duplicate", "OK")</f>
        <v>OK</v>
      </c>
      <c r="O39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39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39" s="22" t="str">
        <f>IF(TableCleaned[[#This Row],[ChangeNeeded]]="No Change", "No Change Needed",IF(COUNTIF(TableChangeLog[RowID],TableCleaned[[#This Row],[RowID]])&gt;0, "Logged", "Not Logged"))</f>
        <v>Logged</v>
      </c>
      <c r="R39" s="19">
        <f>COUNTIFS(TableCleaned[[#This Row],[ChangeNeeded]],"Changed",TableCleaned[[#This Row],[ChangeLog_Status]], "Not Logged")</f>
        <v>0</v>
      </c>
      <c r="S39" s="19">
        <f>COUNTIFS(TableCleaned[[#This Row],[ChangeNeeded]],"No Changed",TableCleaned[[#This Row],[ChangeLog_Status]], "Logged")</f>
        <v>0</v>
      </c>
    </row>
    <row r="40" spans="1:19" x14ac:dyDescent="0.35">
      <c r="A40" s="8">
        <f t="shared" si="2"/>
        <v>39</v>
      </c>
      <c r="B40" s="8" t="s">
        <v>7</v>
      </c>
      <c r="C40" s="8" t="s">
        <v>12</v>
      </c>
      <c r="D40" s="9">
        <v>45905</v>
      </c>
      <c r="E40" s="21">
        <v>100000</v>
      </c>
      <c r="F40" s="9">
        <v>45905</v>
      </c>
      <c r="G40" s="9"/>
      <c r="H40" s="19">
        <f>'5.Report_Info'!$A$2-'4.Cleaned_Data'!$F40</f>
        <v>88</v>
      </c>
      <c r="I40" s="8" t="str">
        <f t="shared" si="1"/>
        <v>61-90 days</v>
      </c>
      <c r="J40" s="24" cm="1">
        <f t="array" ref="J40">TableReport[Report_Date]-TableCleaned[[#This Row],[PaymentDate]]</f>
        <v>88</v>
      </c>
      <c r="K40" s="22" t="str">
        <f>IF(AND(ISNUMBER(TableCleaned[[#This Row],[InvoiceDate]]),ISNUMBER(TableCleaned[[#This Row],[PaymentDate]])),"OK","Inconsistent")</f>
        <v>OK</v>
      </c>
      <c r="L40" s="22" t="str" cm="1">
        <f t="array" ref="L40">IF(ISNUMBER(TableCleaned[[#This Row],[InvoiceDate]]),IF(TableCleaned[[#This Row],[InvoiceDate]]&lt;(TableReport[Report_Date]-120),"Outdated","OK"),"Missing Date")</f>
        <v>OK</v>
      </c>
      <c r="M40" s="22" t="str">
        <f>TableCleaned[[#This Row],[CustomerID]]&amp; " - " &amp; TEXT(TableCleaned[[#This Row],[PaymentDate]],"yyy-mm-dd")</f>
        <v>C005 - 2025-09-05</v>
      </c>
      <c r="N40" s="22" t="str">
        <f>IF(COUNTIF(TableCleaned[Check_InvoiceDate],TableCleaned[[#This Row],[Check_InvoiceDate]])&gt;1, "Duplicate", "OK")</f>
        <v>OK</v>
      </c>
      <c r="O40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40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No Change</v>
      </c>
      <c r="Q40" s="22" t="str">
        <f>IF(TableCleaned[[#This Row],[ChangeNeeded]]="No Change", "No Change Needed",IF(COUNTIF(TableChangeLog[RowID],TableCleaned[[#This Row],[RowID]])&gt;0, "Logged", "Not Logged"))</f>
        <v>No Change Needed</v>
      </c>
      <c r="R40" s="19">
        <f>COUNTIFS(TableCleaned[[#This Row],[ChangeNeeded]],"Changed",TableCleaned[[#This Row],[ChangeLog_Status]], "Not Logged")</f>
        <v>0</v>
      </c>
      <c r="S40" s="19">
        <f>COUNTIFS(TableCleaned[[#This Row],[ChangeNeeded]],"No Changed",TableCleaned[[#This Row],[ChangeLog_Status]], "Logged")</f>
        <v>0</v>
      </c>
    </row>
    <row r="41" spans="1:19" x14ac:dyDescent="0.35">
      <c r="A41" s="8">
        <f t="shared" si="2"/>
        <v>40</v>
      </c>
      <c r="B41" s="8" t="s">
        <v>7</v>
      </c>
      <c r="C41" s="8" t="s">
        <v>12</v>
      </c>
      <c r="D41" s="9">
        <v>45906</v>
      </c>
      <c r="E41" s="21">
        <v>500000</v>
      </c>
      <c r="F41" s="9">
        <v>45926</v>
      </c>
      <c r="G41" s="9"/>
      <c r="H41" s="19">
        <f>'5.Report_Info'!$A$2-'4.Cleaned_Data'!$F41</f>
        <v>67</v>
      </c>
      <c r="I41" s="8" t="str">
        <f t="shared" si="1"/>
        <v>61-90 days</v>
      </c>
      <c r="J41" s="24" cm="1">
        <f t="array" ref="J41">TableReport[Report_Date]-TableCleaned[[#This Row],[PaymentDate]]</f>
        <v>67</v>
      </c>
      <c r="K41" s="22" t="str">
        <f>IF(AND(ISNUMBER(TableCleaned[[#This Row],[InvoiceDate]]),ISNUMBER(TableCleaned[[#This Row],[PaymentDate]])),"OK","Inconsistent")</f>
        <v>OK</v>
      </c>
      <c r="L41" s="22" t="str" cm="1">
        <f t="array" ref="L41">IF(ISNUMBER(TableCleaned[[#This Row],[InvoiceDate]]),IF(TableCleaned[[#This Row],[InvoiceDate]]&lt;(TableReport[Report_Date]-120),"Outdated","OK"),"Missing Date")</f>
        <v>OK</v>
      </c>
      <c r="M41" s="22" t="str">
        <f>TableCleaned[[#This Row],[CustomerID]]&amp; " - " &amp; TEXT(TableCleaned[[#This Row],[PaymentDate]],"yyy-mm-dd")</f>
        <v>C005 - 2025-09-26</v>
      </c>
      <c r="N41" s="22" t="str">
        <f>IF(COUNTIF(TableCleaned[Check_InvoiceDate],TableCleaned[[#This Row],[Check_InvoiceDate]])&gt;1, "Duplicate", "OK")</f>
        <v>OK</v>
      </c>
      <c r="O41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41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No Change</v>
      </c>
      <c r="Q41" s="22" t="str">
        <f>IF(TableCleaned[[#This Row],[ChangeNeeded]]="No Change", "No Change Needed",IF(COUNTIF(TableChangeLog[RowID],TableCleaned[[#This Row],[RowID]])&gt;0, "Logged", "Not Logged"))</f>
        <v>No Change Needed</v>
      </c>
      <c r="R41" s="19">
        <f>COUNTIFS(TableCleaned[[#This Row],[ChangeNeeded]],"Changed",TableCleaned[[#This Row],[ChangeLog_Status]], "Not Logged")</f>
        <v>0</v>
      </c>
      <c r="S41" s="19">
        <f>COUNTIFS(TableCleaned[[#This Row],[ChangeNeeded]],"No Changed",TableCleaned[[#This Row],[ChangeLog_Status]], "Logged")</f>
        <v>0</v>
      </c>
    </row>
    <row r="42" spans="1:19" x14ac:dyDescent="0.35">
      <c r="A42" s="8">
        <f t="shared" si="2"/>
        <v>41</v>
      </c>
      <c r="B42" s="8" t="s">
        <v>7</v>
      </c>
      <c r="C42" s="8" t="s">
        <v>12</v>
      </c>
      <c r="D42" s="7">
        <v>45924</v>
      </c>
      <c r="E42" s="21">
        <v>500000</v>
      </c>
      <c r="F42" s="7">
        <v>45940</v>
      </c>
      <c r="G42" s="7"/>
      <c r="H42" s="19">
        <f>'5.Report_Info'!$A$2-'4.Cleaned_Data'!$F42</f>
        <v>53</v>
      </c>
      <c r="I42" s="8" t="str">
        <f t="shared" si="1"/>
        <v>31-60 days</v>
      </c>
      <c r="J42" s="24" cm="1">
        <f t="array" ref="J42">TableReport[Report_Date]-TableCleaned[[#This Row],[PaymentDate]]</f>
        <v>53</v>
      </c>
      <c r="K42" s="22" t="str">
        <f>IF(AND(ISNUMBER(TableCleaned[[#This Row],[InvoiceDate]]),ISNUMBER(TableCleaned[[#This Row],[PaymentDate]])),"OK","Inconsistent")</f>
        <v>OK</v>
      </c>
      <c r="L42" s="22" t="str" cm="1">
        <f t="array" ref="L42">IF(ISNUMBER(TableCleaned[[#This Row],[InvoiceDate]]),IF(TableCleaned[[#This Row],[InvoiceDate]]&lt;(TableReport[Report_Date]-120),"Outdated","OK"),"Missing Date")</f>
        <v>OK</v>
      </c>
      <c r="M42" s="22" t="str">
        <f>TableCleaned[[#This Row],[CustomerID]]&amp; " - " &amp; TEXT(TableCleaned[[#This Row],[PaymentDate]],"yyy-mm-dd")</f>
        <v>C005 - 2025-10-10</v>
      </c>
      <c r="N42" s="22" t="str">
        <f>IF(COUNTIF(TableCleaned[Check_InvoiceDate],TableCleaned[[#This Row],[Check_InvoiceDate]])&gt;1, "Duplicate", "OK")</f>
        <v>OK</v>
      </c>
      <c r="O42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42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No Change</v>
      </c>
      <c r="Q42" s="22" t="str">
        <f>IF(TableCleaned[[#This Row],[ChangeNeeded]]="No Change", "No Change Needed",IF(COUNTIF(TableChangeLog[RowID],TableCleaned[[#This Row],[RowID]])&gt;0, "Logged", "Not Logged"))</f>
        <v>No Change Needed</v>
      </c>
      <c r="R42" s="19">
        <f>COUNTIFS(TableCleaned[[#This Row],[ChangeNeeded]],"Changed",TableCleaned[[#This Row],[ChangeLog_Status]], "Not Logged")</f>
        <v>0</v>
      </c>
      <c r="S42" s="19">
        <f>COUNTIFS(TableCleaned[[#This Row],[ChangeNeeded]],"No Changed",TableCleaned[[#This Row],[ChangeLog_Status]], "Logged")</f>
        <v>0</v>
      </c>
    </row>
    <row r="43" spans="1:19" x14ac:dyDescent="0.35">
      <c r="A43" s="8">
        <f t="shared" si="2"/>
        <v>42</v>
      </c>
      <c r="B43" s="8" t="s">
        <v>7</v>
      </c>
      <c r="C43" s="8" t="s">
        <v>12</v>
      </c>
      <c r="D43" s="9">
        <v>45750</v>
      </c>
      <c r="E43" s="21">
        <v>1000000</v>
      </c>
      <c r="F43" s="9">
        <v>45933</v>
      </c>
      <c r="G43" s="9"/>
      <c r="H43" s="19">
        <f>'5.Report_Info'!$A$2-'4.Cleaned_Data'!$F43</f>
        <v>60</v>
      </c>
      <c r="I43" s="8" t="str">
        <f t="shared" si="1"/>
        <v>31-60 days</v>
      </c>
      <c r="J43" s="24" cm="1">
        <f t="array" ref="J43">TableReport[Report_Date]-TableCleaned[[#This Row],[PaymentDate]]</f>
        <v>60</v>
      </c>
      <c r="K43" s="22" t="str">
        <f>IF(AND(ISNUMBER(TableCleaned[[#This Row],[InvoiceDate]]),ISNUMBER(TableCleaned[[#This Row],[PaymentDate]])),"OK","Inconsistent")</f>
        <v>OK</v>
      </c>
      <c r="L43" s="22" t="str" cm="1">
        <f t="array" ref="L43">IF(ISNUMBER(TableCleaned[[#This Row],[InvoiceDate]]),IF(TableCleaned[[#This Row],[InvoiceDate]]&lt;(TableReport[Report_Date]-120),"Outdated","OK"),"Missing Date")</f>
        <v>Outdated</v>
      </c>
      <c r="M43" s="22" t="str">
        <f>TableCleaned[[#This Row],[CustomerID]]&amp; " - " &amp; TEXT(TableCleaned[[#This Row],[PaymentDate]],"yyy-mm-dd")</f>
        <v>C005 - 2025-10-03</v>
      </c>
      <c r="N43" s="22" t="str">
        <f>IF(COUNTIF(TableCleaned[Check_InvoiceDate],TableCleaned[[#This Row],[Check_InvoiceDate]])&gt;1, "Duplicate", "OK")</f>
        <v>OK</v>
      </c>
      <c r="O43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43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43" s="22" t="str">
        <f>IF(TableCleaned[[#This Row],[ChangeNeeded]]="No Change", "No Change Needed",IF(COUNTIF(TableChangeLog[RowID],TableCleaned[[#This Row],[RowID]])&gt;0, "Logged", "Not Logged"))</f>
        <v>Logged</v>
      </c>
      <c r="R43" s="19">
        <f>COUNTIFS(TableCleaned[[#This Row],[ChangeNeeded]],"Changed",TableCleaned[[#This Row],[ChangeLog_Status]], "Not Logged")</f>
        <v>0</v>
      </c>
      <c r="S43" s="19">
        <f>COUNTIFS(TableCleaned[[#This Row],[ChangeNeeded]],"No Changed",TableCleaned[[#This Row],[ChangeLog_Status]], "Logged")</f>
        <v>0</v>
      </c>
    </row>
    <row r="44" spans="1:19" x14ac:dyDescent="0.35">
      <c r="A44" s="8">
        <f t="shared" si="2"/>
        <v>43</v>
      </c>
      <c r="B44" s="8" t="s">
        <v>7</v>
      </c>
      <c r="C44" s="8" t="s">
        <v>12</v>
      </c>
      <c r="D44" s="9">
        <v>45880</v>
      </c>
      <c r="E44" s="21">
        <v>1200000</v>
      </c>
      <c r="F44" s="9">
        <v>45890</v>
      </c>
      <c r="G44" s="9"/>
      <c r="H44" s="19">
        <f>'5.Report_Info'!$A$2-'4.Cleaned_Data'!$F44</f>
        <v>103</v>
      </c>
      <c r="I44" s="8" t="str">
        <f t="shared" si="1"/>
        <v>91+ days</v>
      </c>
      <c r="J44" s="24" cm="1">
        <f t="array" ref="J44">TableReport[Report_Date]-TableCleaned[[#This Row],[PaymentDate]]</f>
        <v>103</v>
      </c>
      <c r="K44" s="22" t="str">
        <f>IF(AND(ISNUMBER(TableCleaned[[#This Row],[InvoiceDate]]),ISNUMBER(TableCleaned[[#This Row],[PaymentDate]])),"OK","Inconsistent")</f>
        <v>OK</v>
      </c>
      <c r="L44" s="22" t="str" cm="1">
        <f t="array" ref="L44">IF(ISNUMBER(TableCleaned[[#This Row],[InvoiceDate]]),IF(TableCleaned[[#This Row],[InvoiceDate]]&lt;(TableReport[Report_Date]-120),"Outdated","OK"),"Missing Date")</f>
        <v>OK</v>
      </c>
      <c r="M44" s="22" t="str">
        <f>TableCleaned[[#This Row],[CustomerID]]&amp; " - " &amp; TEXT(TableCleaned[[#This Row],[PaymentDate]],"yyy-mm-dd")</f>
        <v>C005 - 2025-08-21</v>
      </c>
      <c r="N44" s="22" t="str">
        <f>IF(COUNTIF(TableCleaned[Check_InvoiceDate],TableCleaned[[#This Row],[Check_InvoiceDate]])&gt;1, "Duplicate", "OK")</f>
        <v>OK</v>
      </c>
      <c r="O44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44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No Change</v>
      </c>
      <c r="Q44" s="22" t="str">
        <f>IF(TableCleaned[[#This Row],[ChangeNeeded]]="No Change", "No Change Needed",IF(COUNTIF(TableChangeLog[RowID],TableCleaned[[#This Row],[RowID]])&gt;0, "Logged", "Not Logged"))</f>
        <v>No Change Needed</v>
      </c>
      <c r="R44" s="19">
        <f>COUNTIFS(TableCleaned[[#This Row],[ChangeNeeded]],"Changed",TableCleaned[[#This Row],[ChangeLog_Status]], "Not Logged")</f>
        <v>0</v>
      </c>
      <c r="S44" s="19">
        <f>COUNTIFS(TableCleaned[[#This Row],[ChangeNeeded]],"No Changed",TableCleaned[[#This Row],[ChangeLog_Status]], "Logged")</f>
        <v>0</v>
      </c>
    </row>
    <row r="45" spans="1:19" x14ac:dyDescent="0.35">
      <c r="A45" s="8">
        <f t="shared" si="2"/>
        <v>44</v>
      </c>
      <c r="B45" s="8" t="s">
        <v>7</v>
      </c>
      <c r="C45" s="8" t="s">
        <v>12</v>
      </c>
      <c r="D45" s="9">
        <v>45713</v>
      </c>
      <c r="E45" s="21">
        <v>500000</v>
      </c>
      <c r="F45" s="9">
        <v>45956</v>
      </c>
      <c r="G45" s="9"/>
      <c r="H45" s="19">
        <f>'5.Report_Info'!$A$2-'4.Cleaned_Data'!$F45</f>
        <v>37</v>
      </c>
      <c r="I45" s="8" t="str">
        <f t="shared" si="1"/>
        <v>31-60 days</v>
      </c>
      <c r="J45" s="24" cm="1">
        <f t="array" ref="J45">TableReport[Report_Date]-TableCleaned[[#This Row],[PaymentDate]]</f>
        <v>37</v>
      </c>
      <c r="K45" s="22" t="str">
        <f>IF(AND(ISNUMBER(TableCleaned[[#This Row],[InvoiceDate]]),ISNUMBER(TableCleaned[[#This Row],[PaymentDate]])),"OK","Inconsistent")</f>
        <v>OK</v>
      </c>
      <c r="L45" s="22" t="str" cm="1">
        <f t="array" ref="L45">IF(ISNUMBER(TableCleaned[[#This Row],[InvoiceDate]]),IF(TableCleaned[[#This Row],[InvoiceDate]]&lt;(TableReport[Report_Date]-120),"Outdated","OK"),"Missing Date")</f>
        <v>Outdated</v>
      </c>
      <c r="M45" s="22" t="str">
        <f>TableCleaned[[#This Row],[CustomerID]]&amp; " - " &amp; TEXT(TableCleaned[[#This Row],[PaymentDate]],"yyy-mm-dd")</f>
        <v>C005 - 2025-10-26</v>
      </c>
      <c r="N45" s="22" t="str">
        <f>IF(COUNTIF(TableCleaned[Check_InvoiceDate],TableCleaned[[#This Row],[Check_InvoiceDate]])&gt;1, "Duplicate", "OK")</f>
        <v>OK</v>
      </c>
      <c r="O45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45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45" s="22" t="str">
        <f>IF(TableCleaned[[#This Row],[ChangeNeeded]]="No Change", "No Change Needed",IF(COUNTIF(TableChangeLog[RowID],TableCleaned[[#This Row],[RowID]])&gt;0, "Logged", "Not Logged"))</f>
        <v>Not Logged</v>
      </c>
      <c r="R45" s="19">
        <f>COUNTIFS(TableCleaned[[#This Row],[ChangeNeeded]],"Changed",TableCleaned[[#This Row],[ChangeLog_Status]], "Not Logged")</f>
        <v>1</v>
      </c>
      <c r="S45" s="19">
        <f>COUNTIFS(TableCleaned[[#This Row],[ChangeNeeded]],"No Changed",TableCleaned[[#This Row],[ChangeLog_Status]], "Logged")</f>
        <v>0</v>
      </c>
    </row>
    <row r="46" spans="1:19" x14ac:dyDescent="0.35">
      <c r="A46" s="8">
        <f t="shared" si="2"/>
        <v>45</v>
      </c>
      <c r="B46" s="8" t="s">
        <v>7</v>
      </c>
      <c r="C46" s="8" t="s">
        <v>12</v>
      </c>
      <c r="D46" s="9">
        <v>45923</v>
      </c>
      <c r="E46" s="21">
        <v>700000</v>
      </c>
      <c r="F46" s="9">
        <v>45983</v>
      </c>
      <c r="G46" s="9"/>
      <c r="H46" s="19">
        <f>'5.Report_Info'!$A$2-'4.Cleaned_Data'!$F46</f>
        <v>10</v>
      </c>
      <c r="I46" s="8" t="str">
        <f t="shared" si="1"/>
        <v>0-30 days</v>
      </c>
      <c r="J46" s="24" cm="1">
        <f t="array" ref="J46">TableReport[Report_Date]-TableCleaned[[#This Row],[PaymentDate]]</f>
        <v>10</v>
      </c>
      <c r="K46" s="22" t="str">
        <f>IF(AND(ISNUMBER(TableCleaned[[#This Row],[InvoiceDate]]),ISNUMBER(TableCleaned[[#This Row],[PaymentDate]])),"OK","Inconsistent")</f>
        <v>OK</v>
      </c>
      <c r="L46" s="22" t="str" cm="1">
        <f t="array" ref="L46">IF(ISNUMBER(TableCleaned[[#This Row],[InvoiceDate]]),IF(TableCleaned[[#This Row],[InvoiceDate]]&lt;(TableReport[Report_Date]-120),"Outdated","OK"),"Missing Date")</f>
        <v>OK</v>
      </c>
      <c r="M46" s="22" t="str">
        <f>TableCleaned[[#This Row],[CustomerID]]&amp; " - " &amp; TEXT(TableCleaned[[#This Row],[PaymentDate]],"yyy-mm-dd")</f>
        <v>C005 - 2025-11-22</v>
      </c>
      <c r="N46" s="22" t="str">
        <f>IF(COUNTIF(TableCleaned[Check_InvoiceDate],TableCleaned[[#This Row],[Check_InvoiceDate]])&gt;1, "Duplicate", "OK")</f>
        <v>OK</v>
      </c>
      <c r="O46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46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No Change</v>
      </c>
      <c r="Q46" s="22" t="str">
        <f>IF(TableCleaned[[#This Row],[ChangeNeeded]]="No Change", "No Change Needed",IF(COUNTIF(TableChangeLog[RowID],TableCleaned[[#This Row],[RowID]])&gt;0, "Logged", "Not Logged"))</f>
        <v>No Change Needed</v>
      </c>
      <c r="R46" s="19">
        <f>COUNTIFS(TableCleaned[[#This Row],[ChangeNeeded]],"Changed",TableCleaned[[#This Row],[ChangeLog_Status]], "Not Logged")</f>
        <v>0</v>
      </c>
      <c r="S46" s="19">
        <f>COUNTIFS(TableCleaned[[#This Row],[ChangeNeeded]],"No Changed",TableCleaned[[#This Row],[ChangeLog_Status]], "Logged")</f>
        <v>0</v>
      </c>
    </row>
    <row r="47" spans="1:19" x14ac:dyDescent="0.35">
      <c r="A47" s="8">
        <f t="shared" si="2"/>
        <v>46</v>
      </c>
      <c r="B47" s="8" t="s">
        <v>7</v>
      </c>
      <c r="C47" s="8" t="s">
        <v>12</v>
      </c>
      <c r="D47" s="9">
        <v>45958</v>
      </c>
      <c r="E47" s="21">
        <v>1000000</v>
      </c>
      <c r="F47" s="9">
        <v>45989</v>
      </c>
      <c r="G47" s="9"/>
      <c r="H47" s="19">
        <f>'5.Report_Info'!$A$2-'4.Cleaned_Data'!$F47</f>
        <v>4</v>
      </c>
      <c r="I47" s="8" t="str">
        <f t="shared" si="1"/>
        <v>0-30 days</v>
      </c>
      <c r="J47" s="24" cm="1">
        <f t="array" ref="J47">TableReport[Report_Date]-TableCleaned[[#This Row],[PaymentDate]]</f>
        <v>4</v>
      </c>
      <c r="K47" s="22" t="str">
        <f>IF(AND(ISNUMBER(TableCleaned[[#This Row],[InvoiceDate]]),ISNUMBER(TableCleaned[[#This Row],[PaymentDate]])),"OK","Inconsistent")</f>
        <v>OK</v>
      </c>
      <c r="L47" s="22" t="str" cm="1">
        <f t="array" ref="L47">IF(ISNUMBER(TableCleaned[[#This Row],[InvoiceDate]]),IF(TableCleaned[[#This Row],[InvoiceDate]]&lt;(TableReport[Report_Date]-120),"Outdated","OK"),"Missing Date")</f>
        <v>OK</v>
      </c>
      <c r="M47" s="22" t="str">
        <f>TableCleaned[[#This Row],[CustomerID]]&amp; " - " &amp; TEXT(TableCleaned[[#This Row],[PaymentDate]],"yyy-mm-dd")</f>
        <v>C005 - 2025-11-28</v>
      </c>
      <c r="N47" s="22" t="str">
        <f>IF(COUNTIF(TableCleaned[Check_InvoiceDate],TableCleaned[[#This Row],[Check_InvoiceDate]])&gt;1, "Duplicate", "OK")</f>
        <v>OK</v>
      </c>
      <c r="O47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47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No Change</v>
      </c>
      <c r="Q47" s="22" t="str">
        <f>IF(TableCleaned[[#This Row],[ChangeNeeded]]="No Change", "No Change Needed",IF(COUNTIF(TableChangeLog[RowID],TableCleaned[[#This Row],[RowID]])&gt;0, "Logged", "Not Logged"))</f>
        <v>No Change Needed</v>
      </c>
      <c r="R47" s="19">
        <f>COUNTIFS(TableCleaned[[#This Row],[ChangeNeeded]],"Changed",TableCleaned[[#This Row],[ChangeLog_Status]], "Not Logged")</f>
        <v>0</v>
      </c>
      <c r="S47" s="19">
        <f>COUNTIFS(TableCleaned[[#This Row],[ChangeNeeded]],"No Changed",TableCleaned[[#This Row],[ChangeLog_Status]], "Logged")</f>
        <v>0</v>
      </c>
    </row>
    <row r="48" spans="1:19" x14ac:dyDescent="0.35">
      <c r="A48" s="8">
        <f t="shared" si="2"/>
        <v>47</v>
      </c>
      <c r="B48" s="8" t="s">
        <v>7</v>
      </c>
      <c r="C48" s="8" t="s">
        <v>12</v>
      </c>
      <c r="D48" s="9">
        <v>45882</v>
      </c>
      <c r="E48" s="21">
        <v>1200000</v>
      </c>
      <c r="F48" s="9">
        <v>45950</v>
      </c>
      <c r="G48" s="9"/>
      <c r="H48" s="19">
        <f>'5.Report_Info'!$A$2-'4.Cleaned_Data'!$F48</f>
        <v>43</v>
      </c>
      <c r="I48" s="8" t="str">
        <f t="shared" si="1"/>
        <v>31-60 days</v>
      </c>
      <c r="J48" s="24" cm="1">
        <f t="array" ref="J48">TableReport[Report_Date]-TableCleaned[[#This Row],[PaymentDate]]</f>
        <v>43</v>
      </c>
      <c r="K48" s="22" t="str">
        <f>IF(AND(ISNUMBER(TableCleaned[[#This Row],[InvoiceDate]]),ISNUMBER(TableCleaned[[#This Row],[PaymentDate]])),"OK","Inconsistent")</f>
        <v>OK</v>
      </c>
      <c r="L48" s="22" t="str" cm="1">
        <f t="array" ref="L48">IF(ISNUMBER(TableCleaned[[#This Row],[InvoiceDate]]),IF(TableCleaned[[#This Row],[InvoiceDate]]&lt;(TableReport[Report_Date]-120),"Outdated","OK"),"Missing Date")</f>
        <v>OK</v>
      </c>
      <c r="M48" s="22" t="str">
        <f>TableCleaned[[#This Row],[CustomerID]]&amp; " - " &amp; TEXT(TableCleaned[[#This Row],[PaymentDate]],"yyy-mm-dd")</f>
        <v>C005 - 2025-10-20</v>
      </c>
      <c r="N48" s="22" t="str">
        <f>IF(COUNTIF(TableCleaned[Check_InvoiceDate],TableCleaned[[#This Row],[Check_InvoiceDate]])&gt;1, "Duplicate", "OK")</f>
        <v>OK</v>
      </c>
      <c r="O48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48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No Change</v>
      </c>
      <c r="Q48" s="22" t="str">
        <f>IF(TableCleaned[[#This Row],[ChangeNeeded]]="No Change", "No Change Needed",IF(COUNTIF(TableChangeLog[RowID],TableCleaned[[#This Row],[RowID]])&gt;0, "Logged", "Not Logged"))</f>
        <v>No Change Needed</v>
      </c>
      <c r="R48" s="19">
        <f>COUNTIFS(TableCleaned[[#This Row],[ChangeNeeded]],"Changed",TableCleaned[[#This Row],[ChangeLog_Status]], "Not Logged")</f>
        <v>0</v>
      </c>
      <c r="S48" s="19">
        <f>COUNTIFS(TableCleaned[[#This Row],[ChangeNeeded]],"No Changed",TableCleaned[[#This Row],[ChangeLog_Status]], "Logged")</f>
        <v>0</v>
      </c>
    </row>
    <row r="49" spans="1:19" x14ac:dyDescent="0.35">
      <c r="A49" s="8">
        <f t="shared" si="2"/>
        <v>48</v>
      </c>
      <c r="B49" s="8" t="s">
        <v>7</v>
      </c>
      <c r="C49" s="8" t="s">
        <v>12</v>
      </c>
      <c r="D49" s="9">
        <v>45740</v>
      </c>
      <c r="E49" s="21">
        <v>500000</v>
      </c>
      <c r="F49" s="9">
        <v>45925</v>
      </c>
      <c r="G49" s="9"/>
      <c r="H49" s="19">
        <f>'5.Report_Info'!$A$2-'4.Cleaned_Data'!$F49</f>
        <v>68</v>
      </c>
      <c r="I49" s="8" t="str">
        <f t="shared" si="1"/>
        <v>61-90 days</v>
      </c>
      <c r="J49" s="24" cm="1">
        <f t="array" ref="J49">TableReport[Report_Date]-TableCleaned[[#This Row],[PaymentDate]]</f>
        <v>68</v>
      </c>
      <c r="K49" s="22" t="str">
        <f>IF(AND(ISNUMBER(TableCleaned[[#This Row],[InvoiceDate]]),ISNUMBER(TableCleaned[[#This Row],[PaymentDate]])),"OK","Inconsistent")</f>
        <v>OK</v>
      </c>
      <c r="L49" s="22" t="str" cm="1">
        <f t="array" ref="L49">IF(ISNUMBER(TableCleaned[[#This Row],[InvoiceDate]]),IF(TableCleaned[[#This Row],[InvoiceDate]]&lt;(TableReport[Report_Date]-120),"Outdated","OK"),"Missing Date")</f>
        <v>Outdated</v>
      </c>
      <c r="M49" s="22" t="str">
        <f>TableCleaned[[#This Row],[CustomerID]]&amp; " - " &amp; TEXT(TableCleaned[[#This Row],[PaymentDate]],"yyy-mm-dd")</f>
        <v>C005 - 2025-09-25</v>
      </c>
      <c r="N49" s="22" t="str">
        <f>IF(COUNTIF(TableCleaned[Check_InvoiceDate],TableCleaned[[#This Row],[Check_InvoiceDate]])&gt;1, "Duplicate", "OK")</f>
        <v>OK</v>
      </c>
      <c r="O49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49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49" s="22" t="str">
        <f>IF(TableCleaned[[#This Row],[ChangeNeeded]]="No Change", "No Change Needed",IF(COUNTIF(TableChangeLog[RowID],TableCleaned[[#This Row],[RowID]])&gt;0, "Logged", "Not Logged"))</f>
        <v>Not Logged</v>
      </c>
      <c r="R49" s="19">
        <f>COUNTIFS(TableCleaned[[#This Row],[ChangeNeeded]],"Changed",TableCleaned[[#This Row],[ChangeLog_Status]], "Not Logged")</f>
        <v>1</v>
      </c>
      <c r="S49" s="19">
        <f>COUNTIFS(TableCleaned[[#This Row],[ChangeNeeded]],"No Changed",TableCleaned[[#This Row],[ChangeLog_Status]], "Logged")</f>
        <v>0</v>
      </c>
    </row>
    <row r="50" spans="1:19" x14ac:dyDescent="0.35">
      <c r="A50" s="8">
        <f t="shared" si="2"/>
        <v>49</v>
      </c>
      <c r="B50" s="8" t="s">
        <v>7</v>
      </c>
      <c r="C50" s="8" t="s">
        <v>12</v>
      </c>
      <c r="D50" s="9">
        <v>45862</v>
      </c>
      <c r="E50" s="21">
        <v>500000</v>
      </c>
      <c r="F50" s="9">
        <v>45954</v>
      </c>
      <c r="G50" s="9"/>
      <c r="H50" s="19">
        <f>'5.Report_Info'!$A$2-'4.Cleaned_Data'!$F50</f>
        <v>39</v>
      </c>
      <c r="I50" s="8" t="str">
        <f t="shared" si="1"/>
        <v>31-60 days</v>
      </c>
      <c r="J50" s="24" cm="1">
        <f t="array" ref="J50">TableReport[Report_Date]-TableCleaned[[#This Row],[PaymentDate]]</f>
        <v>39</v>
      </c>
      <c r="K50" s="22" t="str">
        <f>IF(AND(ISNUMBER(TableCleaned[[#This Row],[InvoiceDate]]),ISNUMBER(TableCleaned[[#This Row],[PaymentDate]])),"OK","Inconsistent")</f>
        <v>OK</v>
      </c>
      <c r="L50" s="22" t="str" cm="1">
        <f t="array" ref="L50">IF(ISNUMBER(TableCleaned[[#This Row],[InvoiceDate]]),IF(TableCleaned[[#This Row],[InvoiceDate]]&lt;(TableReport[Report_Date]-120),"Outdated","OK"),"Missing Date")</f>
        <v>Outdated</v>
      </c>
      <c r="M50" s="22" t="str">
        <f>TableCleaned[[#This Row],[CustomerID]]&amp; " - " &amp; TEXT(TableCleaned[[#This Row],[PaymentDate]],"yyy-mm-dd")</f>
        <v>C005 - 2025-10-24</v>
      </c>
      <c r="N50" s="22" t="str">
        <f>IF(COUNTIF(TableCleaned[Check_InvoiceDate],TableCleaned[[#This Row],[Check_InvoiceDate]])&gt;1, "Duplicate", "OK")</f>
        <v>OK</v>
      </c>
      <c r="O50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50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50" s="22" t="str">
        <f>IF(TableCleaned[[#This Row],[ChangeNeeded]]="No Change", "No Change Needed",IF(COUNTIF(TableChangeLog[RowID],TableCleaned[[#This Row],[RowID]])&gt;0, "Logged", "Not Logged"))</f>
        <v>Not Logged</v>
      </c>
      <c r="R50" s="19">
        <f>COUNTIFS(TableCleaned[[#This Row],[ChangeNeeded]],"Changed",TableCleaned[[#This Row],[ChangeLog_Status]], "Not Logged")</f>
        <v>1</v>
      </c>
      <c r="S50" s="19">
        <f>COUNTIFS(TableCleaned[[#This Row],[ChangeNeeded]],"No Changed",TableCleaned[[#This Row],[ChangeLog_Status]], "Logged")</f>
        <v>0</v>
      </c>
    </row>
    <row r="51" spans="1:19" x14ac:dyDescent="0.35">
      <c r="A51" s="8">
        <f t="shared" si="2"/>
        <v>50</v>
      </c>
      <c r="B51" s="8" t="s">
        <v>7</v>
      </c>
      <c r="C51" s="8" t="s">
        <v>12</v>
      </c>
      <c r="D51" s="9">
        <v>45840</v>
      </c>
      <c r="E51" s="21">
        <v>1000000</v>
      </c>
      <c r="F51" s="9">
        <v>45988</v>
      </c>
      <c r="G51" s="9"/>
      <c r="H51" s="19">
        <f>'5.Report_Info'!$A$2-'4.Cleaned_Data'!$F51</f>
        <v>5</v>
      </c>
      <c r="I51" s="8" t="str">
        <f t="shared" si="1"/>
        <v>0-30 days</v>
      </c>
      <c r="J51" s="24" cm="1">
        <f t="array" ref="J51">TableReport[Report_Date]-TableCleaned[[#This Row],[PaymentDate]]</f>
        <v>5</v>
      </c>
      <c r="K51" s="22" t="str">
        <f>IF(AND(ISNUMBER(TableCleaned[[#This Row],[InvoiceDate]]),ISNUMBER(TableCleaned[[#This Row],[PaymentDate]])),"OK","Inconsistent")</f>
        <v>OK</v>
      </c>
      <c r="L51" s="22" t="str" cm="1">
        <f t="array" ref="L51">IF(ISNUMBER(TableCleaned[[#This Row],[InvoiceDate]]),IF(TableCleaned[[#This Row],[InvoiceDate]]&lt;(TableReport[Report_Date]-120),"Outdated","OK"),"Missing Date")</f>
        <v>Outdated</v>
      </c>
      <c r="M51" s="22" t="str">
        <f>TableCleaned[[#This Row],[CustomerID]]&amp; " - " &amp; TEXT(TableCleaned[[#This Row],[PaymentDate]],"yyy-mm-dd")</f>
        <v>C005 - 2025-11-27</v>
      </c>
      <c r="N51" s="22" t="str">
        <f>IF(COUNTIF(TableCleaned[Check_InvoiceDate],TableCleaned[[#This Row],[Check_InvoiceDate]])&gt;1, "Duplicate", "OK")</f>
        <v>OK</v>
      </c>
      <c r="O51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51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51" s="22" t="str">
        <f>IF(TableCleaned[[#This Row],[ChangeNeeded]]="No Change", "No Change Needed",IF(COUNTIF(TableChangeLog[RowID],TableCleaned[[#This Row],[RowID]])&gt;0, "Logged", "Not Logged"))</f>
        <v>Not Logged</v>
      </c>
      <c r="R51" s="19">
        <f>COUNTIFS(TableCleaned[[#This Row],[ChangeNeeded]],"Changed",TableCleaned[[#This Row],[ChangeLog_Status]], "Not Logged")</f>
        <v>1</v>
      </c>
      <c r="S51" s="19">
        <f>COUNTIFS(TableCleaned[[#This Row],[ChangeNeeded]],"No Changed",TableCleaned[[#This Row],[ChangeLog_Status]], "Logged")</f>
        <v>0</v>
      </c>
    </row>
    <row r="52" spans="1:19" x14ac:dyDescent="0.35">
      <c r="A52" s="8">
        <f t="shared" si="2"/>
        <v>51</v>
      </c>
      <c r="B52" s="8" t="s">
        <v>7</v>
      </c>
      <c r="C52" s="8" t="s">
        <v>12</v>
      </c>
      <c r="D52" s="7">
        <v>45821</v>
      </c>
      <c r="E52" s="21">
        <v>1200000</v>
      </c>
      <c r="F52" s="7">
        <v>45920</v>
      </c>
      <c r="G52" s="7"/>
      <c r="H52" s="19">
        <f>'5.Report_Info'!$A$2-'4.Cleaned_Data'!$F52</f>
        <v>73</v>
      </c>
      <c r="I52" s="8" t="str">
        <f t="shared" si="1"/>
        <v>61-90 days</v>
      </c>
      <c r="J52" s="24" cm="1">
        <f t="array" ref="J52">TableReport[Report_Date]-TableCleaned[[#This Row],[PaymentDate]]</f>
        <v>73</v>
      </c>
      <c r="K52" s="22" t="str">
        <f>IF(AND(ISNUMBER(TableCleaned[[#This Row],[InvoiceDate]]),ISNUMBER(TableCleaned[[#This Row],[PaymentDate]])),"OK","Inconsistent")</f>
        <v>OK</v>
      </c>
      <c r="L52" s="22" t="str" cm="1">
        <f t="array" ref="L52">IF(ISNUMBER(TableCleaned[[#This Row],[InvoiceDate]]),IF(TableCleaned[[#This Row],[InvoiceDate]]&lt;(TableReport[Report_Date]-120),"Outdated","OK"),"Missing Date")</f>
        <v>Outdated</v>
      </c>
      <c r="M52" s="22" t="str">
        <f>TableCleaned[[#This Row],[CustomerID]]&amp; " - " &amp; TEXT(TableCleaned[[#This Row],[PaymentDate]],"yyy-mm-dd")</f>
        <v>C005 - 2025-09-20</v>
      </c>
      <c r="N52" s="22" t="str">
        <f>IF(COUNTIF(TableCleaned[Check_InvoiceDate],TableCleaned[[#This Row],[Check_InvoiceDate]])&gt;1, "Duplicate", "OK")</f>
        <v>OK</v>
      </c>
      <c r="O52" s="22" t="str">
        <f>IF(OR(ISBLANK(TableCleaned[[#This Row],[Amount_IRR]]),TableCleaned[[#This Row],[Amount_IRR]]&lt;=0), "Invalid(Missing/Negative)", IF(TableCleaned[[#This Row],[Amount_IRR]]&gt;2000000, "Invalid (Too Hiigh)", "OK"))</f>
        <v>OK</v>
      </c>
      <c r="P52" s="22" t="str">
        <f>IF(OR(TableCleaned[[#This Row],[Data_Format_Check]]&lt;&gt;"OK",TableCleaned[[#This Row],[Amount_Validation]] &lt;&gt;"OK", IFERROR(TableCleaned[[#This Row],[Outdated_Check]]&lt;&gt;"OK",FALSE),TableCleaned[[#This Row],[Duplicate_Invoice]]&lt;&gt;"OK"), "Changed", "No Change")</f>
        <v>Changed</v>
      </c>
      <c r="Q52" s="22" t="str">
        <f>IF(TableCleaned[[#This Row],[ChangeNeeded]]="No Change", "No Change Needed",IF(COUNTIF(TableChangeLog[RowID],TableCleaned[[#This Row],[RowID]])&gt;0, "Logged", "Not Logged"))</f>
        <v>Not Logged</v>
      </c>
      <c r="R52" s="19">
        <f>COUNTIFS(TableCleaned[[#This Row],[ChangeNeeded]],"Changed",TableCleaned[[#This Row],[ChangeLog_Status]], "Not Logged")</f>
        <v>1</v>
      </c>
      <c r="S52" s="19">
        <f>COUNTIFS(TableCleaned[[#This Row],[ChangeNeeded]],"No Changed",TableCleaned[[#This Row],[ChangeLog_Status]], "Logged")</f>
        <v>0</v>
      </c>
    </row>
    <row r="53" spans="1:19" x14ac:dyDescent="0.35">
      <c r="A53" s="8"/>
      <c r="B53" s="8"/>
      <c r="C53" s="8"/>
      <c r="D53" s="9"/>
      <c r="E53" s="21">
        <f>SUBTOTAL(109,TableCleaned[Amount_IRR])</f>
        <v>35660000</v>
      </c>
      <c r="F53" s="9"/>
      <c r="G53" s="9"/>
      <c r="H53" s="19"/>
      <c r="I53" s="8">
        <f>SUBTOTAL(103,TableCleaned[AgingBucket])</f>
        <v>51</v>
      </c>
      <c r="J53" s="19"/>
      <c r="K53"/>
      <c r="L53"/>
      <c r="M53"/>
      <c r="N53"/>
      <c r="O53"/>
      <c r="P53"/>
      <c r="Q53"/>
      <c r="R53" s="37"/>
      <c r="S53" s="37"/>
    </row>
  </sheetData>
  <sortState xmlns:xlrd2="http://schemas.microsoft.com/office/spreadsheetml/2017/richdata2" ref="B2:F48">
    <sortCondition ref="B2:B48"/>
  </sortState>
  <conditionalFormatting sqref="E9:E10">
    <cfRule type="cellIs" dxfId="95" priority="5" operator="greaterThan">
      <formula>2000000</formula>
    </cfRule>
    <cfRule type="cellIs" dxfId="94" priority="6" operator="lessThan">
      <formula>100000</formula>
    </cfRule>
  </conditionalFormatting>
  <conditionalFormatting sqref="E20:E21">
    <cfRule type="cellIs" dxfId="93" priority="3" operator="greaterThan">
      <formula>2000000</formula>
    </cfRule>
    <cfRule type="cellIs" dxfId="92" priority="4" operator="lessThan">
      <formula>100000</formula>
    </cfRule>
  </conditionalFormatting>
  <conditionalFormatting sqref="E33:E34">
    <cfRule type="cellIs" dxfId="91" priority="1" operator="greaterThan">
      <formula>2000000</formula>
    </cfRule>
    <cfRule type="cellIs" dxfId="90" priority="2" operator="lessThan">
      <formula>100000</formula>
    </cfRule>
  </conditionalFormatting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28EDF-D4D5-4EFA-8E5C-B1E8ADBFFA67}">
  <dimension ref="A1:A2"/>
  <sheetViews>
    <sheetView workbookViewId="0">
      <selection activeCell="B1" sqref="B1"/>
    </sheetView>
  </sheetViews>
  <sheetFormatPr defaultRowHeight="14.5" x14ac:dyDescent="0.35"/>
  <cols>
    <col min="1" max="1" width="13.54296875" style="46" customWidth="1"/>
    <col min="2" max="16384" width="8.7265625" style="46"/>
  </cols>
  <sheetData>
    <row r="1" spans="1:1" x14ac:dyDescent="0.35">
      <c r="A1" s="34" t="s">
        <v>35</v>
      </c>
    </row>
    <row r="2" spans="1:1" x14ac:dyDescent="0.35">
      <c r="A2" s="35">
        <v>45993</v>
      </c>
    </row>
  </sheetData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01520-E94F-4600-9D87-8BA9A0308806}">
  <dimension ref="A1:L19"/>
  <sheetViews>
    <sheetView zoomScale="80" zoomScaleNormal="80"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" width="10.81640625" style="45" customWidth="1"/>
    <col min="2" max="2" width="8.81640625" style="45" customWidth="1"/>
    <col min="3" max="3" width="12.81640625" style="45" customWidth="1"/>
    <col min="4" max="4" width="10.08984375" style="45" bestFit="1" customWidth="1"/>
    <col min="5" max="5" width="6.6328125" style="45" customWidth="1"/>
    <col min="6" max="6" width="14.453125" style="45" customWidth="1"/>
    <col min="7" max="8" width="14.1796875" style="45" bestFit="1" customWidth="1"/>
    <col min="9" max="9" width="14.26953125" style="45" bestFit="1" customWidth="1"/>
    <col min="10" max="10" width="75.36328125" style="45" bestFit="1" customWidth="1"/>
    <col min="11" max="16384" width="8.7265625" style="45"/>
  </cols>
  <sheetData>
    <row r="1" spans="1:12" x14ac:dyDescent="0.35">
      <c r="A1" s="26" t="s">
        <v>43</v>
      </c>
      <c r="B1" s="26" t="s">
        <v>70</v>
      </c>
      <c r="C1" s="26" t="s">
        <v>0</v>
      </c>
      <c r="D1" s="26" t="s">
        <v>44</v>
      </c>
      <c r="E1" s="26" t="s">
        <v>45</v>
      </c>
      <c r="F1" s="26" t="s">
        <v>98</v>
      </c>
      <c r="G1" s="26" t="s">
        <v>97</v>
      </c>
      <c r="H1" s="26" t="s">
        <v>96</v>
      </c>
      <c r="I1" s="26" t="s">
        <v>95</v>
      </c>
      <c r="J1" s="26" t="s">
        <v>46</v>
      </c>
    </row>
    <row r="2" spans="1:12" x14ac:dyDescent="0.35">
      <c r="A2" s="5">
        <v>1</v>
      </c>
      <c r="B2" s="5">
        <v>3</v>
      </c>
      <c r="C2" s="5" t="s">
        <v>9</v>
      </c>
      <c r="D2" s="27">
        <v>45962</v>
      </c>
      <c r="E2" s="5" t="s">
        <v>47</v>
      </c>
      <c r="F2" s="5" t="s">
        <v>3</v>
      </c>
      <c r="G2" s="5">
        <v>70000</v>
      </c>
      <c r="H2" s="5">
        <v>700000</v>
      </c>
      <c r="I2" s="5" t="s">
        <v>99</v>
      </c>
      <c r="J2" s="5" t="s">
        <v>52</v>
      </c>
    </row>
    <row r="3" spans="1:12" x14ac:dyDescent="0.35">
      <c r="A3" s="5">
        <v>2</v>
      </c>
      <c r="B3" s="5">
        <v>7</v>
      </c>
      <c r="C3" s="5" t="s">
        <v>9</v>
      </c>
      <c r="D3" s="27">
        <v>45962</v>
      </c>
      <c r="E3" s="5" t="s">
        <v>47</v>
      </c>
      <c r="F3" s="5" t="s">
        <v>1</v>
      </c>
      <c r="G3" s="5" t="s">
        <v>13</v>
      </c>
      <c r="H3" s="5" t="s">
        <v>48</v>
      </c>
      <c r="I3" s="5" t="s">
        <v>99</v>
      </c>
      <c r="J3" s="5" t="s">
        <v>57</v>
      </c>
    </row>
    <row r="4" spans="1:12" x14ac:dyDescent="0.35">
      <c r="A4" s="5">
        <v>3</v>
      </c>
      <c r="B4" s="5">
        <v>11</v>
      </c>
      <c r="C4" s="5" t="s">
        <v>5</v>
      </c>
      <c r="D4" s="27">
        <v>45962</v>
      </c>
      <c r="E4" s="5" t="s">
        <v>47</v>
      </c>
      <c r="F4" s="5" t="s">
        <v>29</v>
      </c>
      <c r="G4" s="5" t="s">
        <v>31</v>
      </c>
      <c r="H4" s="5" t="s">
        <v>49</v>
      </c>
      <c r="I4" s="5" t="s">
        <v>100</v>
      </c>
      <c r="J4" s="5" t="s">
        <v>50</v>
      </c>
      <c r="L4" s="45">
        <f>(COUNTIFS(TableChangeLog[Change_Type], "Archived")+ COUNTIFS(TableChangeLog[Change_Type],"Removed"))</f>
        <v>18</v>
      </c>
    </row>
    <row r="5" spans="1:12" x14ac:dyDescent="0.35">
      <c r="A5" s="5">
        <v>4</v>
      </c>
      <c r="B5" s="5">
        <v>12</v>
      </c>
      <c r="C5" s="5" t="s">
        <v>5</v>
      </c>
      <c r="D5" s="27">
        <v>45962</v>
      </c>
      <c r="E5" s="5" t="s">
        <v>47</v>
      </c>
      <c r="F5" s="5" t="s">
        <v>4</v>
      </c>
      <c r="G5" s="27">
        <v>45904</v>
      </c>
      <c r="H5" s="27">
        <v>45965</v>
      </c>
      <c r="I5" s="27" t="s">
        <v>99</v>
      </c>
      <c r="J5" s="5" t="s">
        <v>51</v>
      </c>
    </row>
    <row r="6" spans="1:12" x14ac:dyDescent="0.35">
      <c r="A6" s="5">
        <v>5</v>
      </c>
      <c r="B6" s="5">
        <v>13</v>
      </c>
      <c r="C6" s="5" t="s">
        <v>5</v>
      </c>
      <c r="D6" s="27">
        <v>45962</v>
      </c>
      <c r="E6" s="5" t="s">
        <v>47</v>
      </c>
      <c r="F6" s="5" t="s">
        <v>1</v>
      </c>
      <c r="G6" s="5" t="s">
        <v>11</v>
      </c>
      <c r="H6" s="5" t="s">
        <v>10</v>
      </c>
      <c r="I6" s="5" t="s">
        <v>99</v>
      </c>
      <c r="J6" s="5" t="s">
        <v>54</v>
      </c>
    </row>
    <row r="7" spans="1:12" x14ac:dyDescent="0.35">
      <c r="A7" s="5">
        <v>6</v>
      </c>
      <c r="B7" s="5">
        <v>14</v>
      </c>
      <c r="C7" s="5" t="s">
        <v>5</v>
      </c>
      <c r="D7" s="27">
        <v>45962</v>
      </c>
      <c r="E7" s="5" t="s">
        <v>47</v>
      </c>
      <c r="F7" s="5" t="s">
        <v>4</v>
      </c>
      <c r="G7" s="27">
        <v>45928</v>
      </c>
      <c r="H7" s="27">
        <v>45989</v>
      </c>
      <c r="I7" s="5" t="s">
        <v>99</v>
      </c>
      <c r="J7" s="5" t="s">
        <v>134</v>
      </c>
    </row>
    <row r="8" spans="1:12" x14ac:dyDescent="0.35">
      <c r="A8" s="5">
        <v>7</v>
      </c>
      <c r="B8" s="5">
        <v>22</v>
      </c>
      <c r="C8" s="5" t="s">
        <v>8</v>
      </c>
      <c r="D8" s="27">
        <v>45962</v>
      </c>
      <c r="E8" s="5" t="s">
        <v>47</v>
      </c>
      <c r="F8" s="5" t="s">
        <v>3</v>
      </c>
      <c r="G8" s="5">
        <v>50000</v>
      </c>
      <c r="H8" s="5">
        <v>500000</v>
      </c>
      <c r="I8" s="5" t="s">
        <v>99</v>
      </c>
      <c r="J8" s="5" t="s">
        <v>52</v>
      </c>
    </row>
    <row r="9" spans="1:12" x14ac:dyDescent="0.35">
      <c r="A9" s="5">
        <v>8</v>
      </c>
      <c r="B9" s="5">
        <v>26</v>
      </c>
      <c r="C9" s="5" t="s">
        <v>8</v>
      </c>
      <c r="D9" s="27">
        <v>45962</v>
      </c>
      <c r="E9" s="5" t="s">
        <v>47</v>
      </c>
      <c r="F9" s="5" t="s">
        <v>3</v>
      </c>
      <c r="G9" s="5">
        <v>10000</v>
      </c>
      <c r="H9" s="5">
        <v>100000</v>
      </c>
      <c r="I9" s="5" t="s">
        <v>99</v>
      </c>
      <c r="J9" s="5" t="s">
        <v>52</v>
      </c>
    </row>
    <row r="10" spans="1:12" x14ac:dyDescent="0.35">
      <c r="A10" s="5">
        <v>9</v>
      </c>
      <c r="B10" s="5">
        <v>26</v>
      </c>
      <c r="C10" s="5" t="s">
        <v>8</v>
      </c>
      <c r="D10" s="27">
        <v>45962</v>
      </c>
      <c r="E10" s="5" t="s">
        <v>47</v>
      </c>
      <c r="F10" s="5" t="s">
        <v>4</v>
      </c>
      <c r="G10" s="5" t="s">
        <v>49</v>
      </c>
      <c r="H10" s="27">
        <v>45845</v>
      </c>
      <c r="I10" s="27" t="s">
        <v>99</v>
      </c>
      <c r="J10" s="5" t="s">
        <v>56</v>
      </c>
    </row>
    <row r="11" spans="1:12" x14ac:dyDescent="0.35">
      <c r="A11" s="5">
        <v>10</v>
      </c>
      <c r="B11" s="5">
        <v>30</v>
      </c>
      <c r="C11" s="5" t="s">
        <v>8</v>
      </c>
      <c r="D11" s="27">
        <v>45962</v>
      </c>
      <c r="E11" s="5" t="s">
        <v>47</v>
      </c>
      <c r="F11" s="5" t="s">
        <v>1</v>
      </c>
      <c r="G11" s="5" t="s">
        <v>12</v>
      </c>
      <c r="H11" s="5" t="s">
        <v>13</v>
      </c>
      <c r="I11" s="5" t="s">
        <v>99</v>
      </c>
      <c r="J11" s="5" t="s">
        <v>55</v>
      </c>
    </row>
    <row r="12" spans="1:12" x14ac:dyDescent="0.35">
      <c r="A12" s="5">
        <v>11</v>
      </c>
      <c r="B12" s="5">
        <v>30</v>
      </c>
      <c r="C12" s="5" t="s">
        <v>8</v>
      </c>
      <c r="D12" s="27">
        <v>45962</v>
      </c>
      <c r="E12" s="5" t="s">
        <v>47</v>
      </c>
      <c r="F12" s="5" t="s">
        <v>29</v>
      </c>
      <c r="G12" s="5" t="s">
        <v>30</v>
      </c>
      <c r="H12" s="5" t="s">
        <v>49</v>
      </c>
      <c r="I12" s="5" t="s">
        <v>100</v>
      </c>
      <c r="J12" s="5" t="s">
        <v>58</v>
      </c>
    </row>
    <row r="13" spans="1:12" x14ac:dyDescent="0.35">
      <c r="A13" s="5">
        <v>12</v>
      </c>
      <c r="B13" s="5">
        <v>36</v>
      </c>
      <c r="C13" s="5" t="s">
        <v>6</v>
      </c>
      <c r="D13" s="27">
        <v>45962</v>
      </c>
      <c r="E13" s="5" t="s">
        <v>47</v>
      </c>
      <c r="F13" s="5" t="s">
        <v>29</v>
      </c>
      <c r="G13" s="5" t="s">
        <v>31</v>
      </c>
      <c r="H13" s="5" t="s">
        <v>49</v>
      </c>
      <c r="I13" s="5" t="s">
        <v>100</v>
      </c>
      <c r="J13" s="5" t="s">
        <v>58</v>
      </c>
    </row>
    <row r="14" spans="1:12" x14ac:dyDescent="0.35">
      <c r="A14" s="5">
        <v>13</v>
      </c>
      <c r="B14" s="5">
        <v>38</v>
      </c>
      <c r="C14" s="5" t="s">
        <v>7</v>
      </c>
      <c r="D14" s="27">
        <v>45962</v>
      </c>
      <c r="E14" s="5" t="s">
        <v>47</v>
      </c>
      <c r="F14" s="5" t="s">
        <v>3</v>
      </c>
      <c r="G14" s="5">
        <v>50000</v>
      </c>
      <c r="H14" s="5">
        <v>500000</v>
      </c>
      <c r="I14" s="5" t="s">
        <v>99</v>
      </c>
      <c r="J14" s="5" t="s">
        <v>52</v>
      </c>
    </row>
    <row r="15" spans="1:12" x14ac:dyDescent="0.35">
      <c r="A15" s="5">
        <v>14</v>
      </c>
      <c r="B15" s="5">
        <v>41</v>
      </c>
      <c r="C15" s="5" t="s">
        <v>7</v>
      </c>
      <c r="D15" s="27">
        <v>45962</v>
      </c>
      <c r="E15" s="5" t="s">
        <v>47</v>
      </c>
      <c r="F15" s="5" t="s">
        <v>2</v>
      </c>
      <c r="G15" s="27">
        <v>45905</v>
      </c>
      <c r="H15" s="27">
        <v>45906</v>
      </c>
      <c r="I15" s="27" t="s">
        <v>99</v>
      </c>
      <c r="J15" s="5" t="s">
        <v>53</v>
      </c>
    </row>
    <row r="16" spans="1:12" x14ac:dyDescent="0.35">
      <c r="A16" s="5">
        <v>15</v>
      </c>
      <c r="B16" s="5">
        <v>42</v>
      </c>
      <c r="C16" s="5" t="s">
        <v>7</v>
      </c>
      <c r="D16" s="27">
        <v>45962</v>
      </c>
      <c r="E16" s="5" t="s">
        <v>47</v>
      </c>
      <c r="F16" s="5" t="s">
        <v>29</v>
      </c>
      <c r="G16" s="5" t="s">
        <v>31</v>
      </c>
      <c r="H16" s="5" t="s">
        <v>49</v>
      </c>
      <c r="I16" s="5" t="s">
        <v>100</v>
      </c>
      <c r="J16" s="5" t="s">
        <v>58</v>
      </c>
    </row>
    <row r="17" spans="1:10" x14ac:dyDescent="0.35">
      <c r="A17" s="5">
        <v>16</v>
      </c>
      <c r="B17" s="5">
        <v>42</v>
      </c>
      <c r="C17" s="5" t="s">
        <v>7</v>
      </c>
      <c r="D17" s="27">
        <v>45962</v>
      </c>
      <c r="E17" s="5" t="s">
        <v>47</v>
      </c>
      <c r="F17" s="5" t="s">
        <v>4</v>
      </c>
      <c r="G17" s="5" t="s">
        <v>49</v>
      </c>
      <c r="H17" s="27">
        <v>45940</v>
      </c>
      <c r="I17" s="27" t="s">
        <v>99</v>
      </c>
      <c r="J17" s="5" t="s">
        <v>56</v>
      </c>
    </row>
    <row r="18" spans="1:10" x14ac:dyDescent="0.35">
      <c r="A18" s="5">
        <v>17</v>
      </c>
      <c r="B18" s="5">
        <v>46</v>
      </c>
      <c r="C18" s="5" t="s">
        <v>7</v>
      </c>
      <c r="D18" s="27">
        <v>45962</v>
      </c>
      <c r="E18" s="5" t="s">
        <v>47</v>
      </c>
      <c r="F18" s="5" t="s">
        <v>4</v>
      </c>
      <c r="G18" s="5" t="s">
        <v>49</v>
      </c>
      <c r="H18" s="27">
        <v>45983</v>
      </c>
      <c r="I18" s="27" t="s">
        <v>99</v>
      </c>
      <c r="J18" s="5" t="s">
        <v>56</v>
      </c>
    </row>
    <row r="19" spans="1:10" x14ac:dyDescent="0.35">
      <c r="A19" s="5">
        <v>18</v>
      </c>
      <c r="B19" s="5">
        <v>53</v>
      </c>
      <c r="C19" s="5" t="s">
        <v>33</v>
      </c>
      <c r="D19" s="27">
        <v>45962</v>
      </c>
      <c r="E19" s="5" t="s">
        <v>47</v>
      </c>
      <c r="F19" s="5" t="s">
        <v>0</v>
      </c>
      <c r="G19" s="5" t="s">
        <v>33</v>
      </c>
      <c r="H19" s="5" t="s">
        <v>49</v>
      </c>
      <c r="I19" s="5" t="s">
        <v>100</v>
      </c>
      <c r="J19" s="5" t="s">
        <v>59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3ABCA-C729-43F4-8F1B-A86C338E8BF8}">
  <dimension ref="A1:G11"/>
  <sheetViews>
    <sheetView topLeftCell="B1" workbookViewId="0">
      <selection activeCell="B1" sqref="B1:G1"/>
    </sheetView>
  </sheetViews>
  <sheetFormatPr defaultRowHeight="14.5" x14ac:dyDescent="0.35"/>
  <cols>
    <col min="1" max="1" width="2" style="46" customWidth="1"/>
    <col min="2" max="2" width="17.81640625" style="46" bestFit="1" customWidth="1"/>
    <col min="3" max="3" width="15.26953125" style="46" bestFit="1" customWidth="1"/>
    <col min="4" max="4" width="12.08984375" style="46" bestFit="1" customWidth="1"/>
    <col min="5" max="5" width="13.1796875" style="46" bestFit="1" customWidth="1"/>
    <col min="6" max="6" width="12.08984375" style="46" bestFit="1" customWidth="1"/>
    <col min="7" max="7" width="13.1796875" style="46" bestFit="1" customWidth="1"/>
    <col min="8" max="16384" width="8.7265625" style="46"/>
  </cols>
  <sheetData>
    <row r="1" spans="1:7" ht="21" x14ac:dyDescent="0.5">
      <c r="A1" s="10"/>
      <c r="B1" s="66" t="s">
        <v>41</v>
      </c>
      <c r="C1" s="66"/>
      <c r="D1" s="66"/>
      <c r="E1" s="66"/>
      <c r="F1" s="66"/>
      <c r="G1" s="66"/>
    </row>
    <row r="2" spans="1:7" ht="11" customHeight="1" x14ac:dyDescent="0.5">
      <c r="B2" s="54"/>
      <c r="C2" s="54"/>
      <c r="D2" s="54"/>
      <c r="E2" s="54"/>
      <c r="F2" s="54"/>
      <c r="G2" s="54"/>
    </row>
    <row r="3" spans="1:7" x14ac:dyDescent="0.35">
      <c r="A3" s="10"/>
      <c r="B3" s="11" t="s">
        <v>26</v>
      </c>
      <c r="C3" s="11" t="s">
        <v>27</v>
      </c>
      <c r="D3"/>
      <c r="E3"/>
      <c r="F3"/>
      <c r="G3"/>
    </row>
    <row r="4" spans="1:7" x14ac:dyDescent="0.35">
      <c r="A4" s="10"/>
      <c r="B4" s="11" t="s">
        <v>0</v>
      </c>
      <c r="C4" t="s">
        <v>37</v>
      </c>
      <c r="D4" t="s">
        <v>38</v>
      </c>
      <c r="E4" t="s">
        <v>39</v>
      </c>
      <c r="F4" t="s">
        <v>40</v>
      </c>
      <c r="G4" t="s">
        <v>25</v>
      </c>
    </row>
    <row r="5" spans="1:7" x14ac:dyDescent="0.35">
      <c r="A5" s="10"/>
      <c r="B5" s="1" t="s">
        <v>9</v>
      </c>
      <c r="C5" s="15">
        <v>2300000</v>
      </c>
      <c r="D5" s="15">
        <v>1300000</v>
      </c>
      <c r="E5" s="15">
        <v>2300000</v>
      </c>
      <c r="F5" s="15">
        <v>700000</v>
      </c>
      <c r="G5" s="15">
        <v>6600000</v>
      </c>
    </row>
    <row r="6" spans="1:7" x14ac:dyDescent="0.35">
      <c r="A6" s="10"/>
      <c r="B6" s="1" t="s">
        <v>5</v>
      </c>
      <c r="C6" s="15">
        <v>1540000</v>
      </c>
      <c r="D6" s="15">
        <v>500000</v>
      </c>
      <c r="E6" s="15">
        <v>2120000</v>
      </c>
      <c r="F6" s="15">
        <v>2400000</v>
      </c>
      <c r="G6" s="15">
        <v>6560000</v>
      </c>
    </row>
    <row r="7" spans="1:7" x14ac:dyDescent="0.35">
      <c r="A7" s="10"/>
      <c r="B7" s="1" t="s">
        <v>8</v>
      </c>
      <c r="C7" s="15">
        <v>1800000</v>
      </c>
      <c r="D7" s="15">
        <v>1700000</v>
      </c>
      <c r="E7" s="15">
        <v>3500000</v>
      </c>
      <c r="F7" s="15">
        <v>2500000</v>
      </c>
      <c r="G7" s="15">
        <v>9500000</v>
      </c>
    </row>
    <row r="8" spans="1:7" x14ac:dyDescent="0.35">
      <c r="A8" s="10"/>
      <c r="B8" s="1" t="s">
        <v>6</v>
      </c>
      <c r="C8" s="15">
        <v>1200000</v>
      </c>
      <c r="D8" s="15">
        <v>1200000</v>
      </c>
      <c r="E8" s="15">
        <v>100000</v>
      </c>
      <c r="F8" s="15"/>
      <c r="G8" s="15">
        <v>2500000</v>
      </c>
    </row>
    <row r="9" spans="1:7" x14ac:dyDescent="0.35">
      <c r="A9" s="10"/>
      <c r="B9" s="1" t="s">
        <v>7</v>
      </c>
      <c r="C9" s="15">
        <v>2800000</v>
      </c>
      <c r="D9" s="15">
        <v>3700000</v>
      </c>
      <c r="E9" s="15">
        <v>2300000</v>
      </c>
      <c r="F9" s="15">
        <v>1700000</v>
      </c>
      <c r="G9" s="15">
        <v>10500000</v>
      </c>
    </row>
    <row r="10" spans="1:7" x14ac:dyDescent="0.35">
      <c r="A10" s="10"/>
      <c r="B10" s="1" t="s">
        <v>25</v>
      </c>
      <c r="C10" s="15">
        <v>9640000</v>
      </c>
      <c r="D10" s="15">
        <v>8400000</v>
      </c>
      <c r="E10" s="15">
        <v>10320000</v>
      </c>
      <c r="F10" s="15">
        <v>7300000</v>
      </c>
      <c r="G10" s="15">
        <v>35660000</v>
      </c>
    </row>
    <row r="11" spans="1:7" x14ac:dyDescent="0.35">
      <c r="B11" s="67" t="s">
        <v>42</v>
      </c>
      <c r="C11" s="67"/>
      <c r="D11" s="67"/>
      <c r="E11" s="67"/>
      <c r="F11" s="67"/>
      <c r="G11" s="67"/>
    </row>
  </sheetData>
  <mergeCells count="2">
    <mergeCell ref="B1:G1"/>
    <mergeCell ref="B11:G11"/>
  </mergeCells>
  <pageMargins left="0.7" right="0.7" top="0.75" bottom="0.75" header="0.3" footer="0.3"/>
  <pageSetup paperSize="9" orientation="portrait" horizontalDpi="200" verticalDpi="2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A3C3E-1CEE-44F9-8431-3722CCED7254}">
  <dimension ref="B1:G11"/>
  <sheetViews>
    <sheetView workbookViewId="0">
      <selection activeCell="B1" sqref="B1:G1"/>
    </sheetView>
  </sheetViews>
  <sheetFormatPr defaultRowHeight="14.5" x14ac:dyDescent="0.35"/>
  <cols>
    <col min="1" max="1" width="1.81640625" style="46" customWidth="1"/>
    <col min="2" max="2" width="10.7265625" style="46" bestFit="1" customWidth="1"/>
    <col min="3" max="3" width="11" style="46" bestFit="1" customWidth="1"/>
    <col min="4" max="5" width="12" style="46" bestFit="1" customWidth="1"/>
    <col min="6" max="6" width="10.36328125" style="46" bestFit="1" customWidth="1"/>
    <col min="7" max="7" width="12.90625" style="46" bestFit="1" customWidth="1"/>
    <col min="8" max="16384" width="8.7265625" style="46"/>
  </cols>
  <sheetData>
    <row r="1" spans="2:7" s="52" customFormat="1" ht="18.5" x14ac:dyDescent="0.45">
      <c r="B1" s="69" t="s">
        <v>163</v>
      </c>
      <c r="C1" s="69"/>
      <c r="D1" s="69"/>
      <c r="E1" s="69"/>
      <c r="F1" s="69"/>
      <c r="G1" s="69"/>
    </row>
    <row r="2" spans="2:7" ht="8" customHeight="1" x14ac:dyDescent="0.35">
      <c r="B2" s="48"/>
      <c r="C2" s="48"/>
      <c r="D2" s="48"/>
      <c r="E2" s="48"/>
      <c r="F2" s="48"/>
      <c r="G2" s="48"/>
    </row>
    <row r="3" spans="2:7" ht="21" x14ac:dyDescent="0.5">
      <c r="B3" s="68" t="s">
        <v>164</v>
      </c>
      <c r="C3" s="68"/>
      <c r="D3" s="68"/>
      <c r="E3" s="68"/>
      <c r="F3" s="68"/>
      <c r="G3" s="68"/>
    </row>
    <row r="4" spans="2:7" s="51" customFormat="1" x14ac:dyDescent="0.35">
      <c r="B4" s="13" t="s">
        <v>0</v>
      </c>
      <c r="C4" s="13" t="s">
        <v>37</v>
      </c>
      <c r="D4" s="13" t="s">
        <v>38</v>
      </c>
      <c r="E4" s="13" t="s">
        <v>39</v>
      </c>
      <c r="F4" s="13" t="s">
        <v>40</v>
      </c>
      <c r="G4" s="13" t="s">
        <v>25</v>
      </c>
    </row>
    <row r="5" spans="2:7" x14ac:dyDescent="0.35">
      <c r="B5" s="6" t="s">
        <v>9</v>
      </c>
      <c r="C5" s="12">
        <v>2300000</v>
      </c>
      <c r="D5" s="12">
        <v>1300000</v>
      </c>
      <c r="E5" s="12">
        <v>2300000</v>
      </c>
      <c r="F5" s="12">
        <v>700000</v>
      </c>
      <c r="G5" s="12">
        <v>6600000</v>
      </c>
    </row>
    <row r="6" spans="2:7" x14ac:dyDescent="0.35">
      <c r="B6" s="6" t="s">
        <v>5</v>
      </c>
      <c r="C6" s="12">
        <v>1540000</v>
      </c>
      <c r="D6" s="12">
        <v>500000</v>
      </c>
      <c r="E6" s="12">
        <v>2120000</v>
      </c>
      <c r="F6" s="12">
        <v>2400000</v>
      </c>
      <c r="G6" s="12">
        <v>6560000</v>
      </c>
    </row>
    <row r="7" spans="2:7" x14ac:dyDescent="0.35">
      <c r="B7" s="6" t="s">
        <v>8</v>
      </c>
      <c r="C7" s="12">
        <v>1800000</v>
      </c>
      <c r="D7" s="12">
        <v>1700000</v>
      </c>
      <c r="E7" s="12">
        <v>3500000</v>
      </c>
      <c r="F7" s="12">
        <v>2500000</v>
      </c>
      <c r="G7" s="12">
        <v>9500000</v>
      </c>
    </row>
    <row r="8" spans="2:7" x14ac:dyDescent="0.35">
      <c r="B8" s="6" t="s">
        <v>6</v>
      </c>
      <c r="C8" s="12">
        <v>1200000</v>
      </c>
      <c r="D8" s="12">
        <v>1200000</v>
      </c>
      <c r="E8" s="12">
        <v>100000</v>
      </c>
      <c r="F8" s="12"/>
      <c r="G8" s="12">
        <v>2500000</v>
      </c>
    </row>
    <row r="9" spans="2:7" x14ac:dyDescent="0.35">
      <c r="B9" s="6" t="s">
        <v>7</v>
      </c>
      <c r="C9" s="12">
        <v>2800000</v>
      </c>
      <c r="D9" s="12">
        <v>3700000</v>
      </c>
      <c r="E9" s="12">
        <v>2300000</v>
      </c>
      <c r="F9" s="12">
        <v>1700000</v>
      </c>
      <c r="G9" s="12">
        <v>10500000</v>
      </c>
    </row>
    <row r="10" spans="2:7" s="51" customFormat="1" x14ac:dyDescent="0.35">
      <c r="B10" s="13" t="s">
        <v>25</v>
      </c>
      <c r="C10" s="14">
        <v>9640000</v>
      </c>
      <c r="D10" s="14">
        <v>8400000</v>
      </c>
      <c r="E10" s="14">
        <v>10320000</v>
      </c>
      <c r="F10" s="14">
        <v>7300000</v>
      </c>
      <c r="G10" s="14">
        <v>35660000</v>
      </c>
    </row>
    <row r="11" spans="2:7" x14ac:dyDescent="0.35">
      <c r="B11" s="67" t="s">
        <v>42</v>
      </c>
      <c r="C11" s="67"/>
      <c r="D11" s="67"/>
      <c r="E11" s="67"/>
      <c r="F11" s="67"/>
      <c r="G11" s="67"/>
    </row>
  </sheetData>
  <autoFilter ref="B4:G11" xr:uid="{5B2A3C3E-1CEE-44F9-8431-3722CCED7254}"/>
  <mergeCells count="3">
    <mergeCell ref="B3:G3"/>
    <mergeCell ref="B11:G11"/>
    <mergeCell ref="B1:G1"/>
  </mergeCells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8087-F305-4C7C-BE93-B5F59DFDAB9C}">
  <dimension ref="B1:I12"/>
  <sheetViews>
    <sheetView zoomScale="70" zoomScaleNormal="70" workbookViewId="0">
      <selection activeCell="B8" sqref="B8"/>
    </sheetView>
  </sheetViews>
  <sheetFormatPr defaultRowHeight="14.5" x14ac:dyDescent="0.35"/>
  <cols>
    <col min="1" max="1" width="2.36328125" style="46" customWidth="1"/>
    <col min="2" max="2" width="33.453125" style="46" bestFit="1" customWidth="1"/>
    <col min="3" max="3" width="48.453125" style="46" bestFit="1" customWidth="1"/>
    <col min="4" max="4" width="33.453125" style="46" customWidth="1"/>
    <col min="5" max="5" width="148.453125" style="46" bestFit="1" customWidth="1"/>
    <col min="6" max="6" width="12.1796875" style="46" bestFit="1" customWidth="1"/>
    <col min="7" max="7" width="15.54296875" style="46" bestFit="1" customWidth="1"/>
    <col min="8" max="8" width="8.7265625" style="46"/>
    <col min="9" max="9" width="63.7265625" style="46" bestFit="1" customWidth="1"/>
    <col min="10" max="16384" width="8.7265625" style="46"/>
  </cols>
  <sheetData>
    <row r="1" spans="2:9" s="53" customFormat="1" ht="21" x14ac:dyDescent="0.5">
      <c r="B1" s="70" t="s">
        <v>162</v>
      </c>
      <c r="C1" s="70"/>
      <c r="D1" s="70"/>
      <c r="E1" s="70"/>
      <c r="F1" s="70"/>
      <c r="G1" s="70"/>
      <c r="H1" s="70"/>
      <c r="I1" s="70"/>
    </row>
    <row r="2" spans="2:9" x14ac:dyDescent="0.35">
      <c r="B2" s="49"/>
      <c r="C2" s="49"/>
      <c r="D2" s="49"/>
      <c r="E2" s="49"/>
      <c r="F2" s="49"/>
      <c r="G2" s="49"/>
      <c r="H2" s="49"/>
      <c r="I2" s="49"/>
    </row>
    <row r="3" spans="2:9" s="45" customFormat="1" x14ac:dyDescent="0.35">
      <c r="B3" s="5" t="s">
        <v>60</v>
      </c>
      <c r="C3" s="5" t="s">
        <v>103</v>
      </c>
      <c r="D3" s="5" t="s">
        <v>104</v>
      </c>
      <c r="E3" s="5" t="s">
        <v>61</v>
      </c>
      <c r="F3" s="5" t="s">
        <v>62</v>
      </c>
      <c r="G3" s="5" t="s">
        <v>63</v>
      </c>
      <c r="H3" s="5" t="s">
        <v>64</v>
      </c>
      <c r="I3" s="5" t="s">
        <v>29</v>
      </c>
    </row>
    <row r="4" spans="2:9" x14ac:dyDescent="0.35">
      <c r="B4" s="5" t="s">
        <v>87</v>
      </c>
      <c r="C4" s="5" t="s">
        <v>107</v>
      </c>
      <c r="D4" s="5" t="s">
        <v>118</v>
      </c>
      <c r="E4" s="5" t="s">
        <v>88</v>
      </c>
      <c r="F4" s="5" t="s">
        <v>28</v>
      </c>
      <c r="G4" s="5" t="str">
        <f>IF(COUNTIF(TableCleaned[Amount_Validation], "OK")=ROWS(TableCleaned[Amount_Validation]), "OK", "Invalid amount Found")</f>
        <v>OK</v>
      </c>
      <c r="H4" s="5" t="str">
        <f>IF(TableCoreValidation[[#This Row],[Result]]=TableCoreValidation[[#This Row],[Expected]], "Pass", "Fail")</f>
        <v>Pass</v>
      </c>
      <c r="I4" s="5" t="s">
        <v>147</v>
      </c>
    </row>
    <row r="5" spans="2:9" x14ac:dyDescent="0.35">
      <c r="B5" s="5" t="s">
        <v>83</v>
      </c>
      <c r="C5" s="5" t="s">
        <v>106</v>
      </c>
      <c r="D5" s="5" t="s">
        <v>124</v>
      </c>
      <c r="E5" s="5" t="s">
        <v>89</v>
      </c>
      <c r="F5" s="5" t="s">
        <v>28</v>
      </c>
      <c r="G5" s="5" t="str">
        <f>IF(COUNTIF(TableCleaned[Duplicate_Invoice],"Duplicate")=0,"OK","Duplicate Found")</f>
        <v>OK</v>
      </c>
      <c r="H5" s="5" t="str">
        <f>IF(TableCoreValidation[[#This Row],[Result]]=TableCoreValidation[[#This Row],[Expected]], "Pass", "Fail")</f>
        <v>Pass</v>
      </c>
      <c r="I5" s="5" t="s">
        <v>147</v>
      </c>
    </row>
    <row r="6" spans="2:9" x14ac:dyDescent="0.35">
      <c r="B6" s="5" t="s">
        <v>68</v>
      </c>
      <c r="C6" s="5" t="s">
        <v>109</v>
      </c>
      <c r="D6" s="5" t="s">
        <v>123</v>
      </c>
      <c r="E6" s="5" t="s">
        <v>81</v>
      </c>
      <c r="F6" s="5" t="s">
        <v>28</v>
      </c>
      <c r="G6" s="5" t="str">
        <f>IF(COUNTIF(TableCleaned[Data_Format_Check],"Inconsistent")=0,"OK","Inconsistent")</f>
        <v>OK</v>
      </c>
      <c r="H6" s="5" t="str">
        <f>IF(TableCoreValidation[[#This Row],[Result]]=TableCoreValidation[[#This Row],[Expected]], "Pass", "Fail")</f>
        <v>Pass</v>
      </c>
      <c r="I6" s="5" t="s">
        <v>147</v>
      </c>
    </row>
    <row r="7" spans="2:9" x14ac:dyDescent="0.35">
      <c r="B7" s="5" t="s">
        <v>121</v>
      </c>
      <c r="C7" s="5" t="s">
        <v>128</v>
      </c>
      <c r="D7" s="5" t="s">
        <v>120</v>
      </c>
      <c r="E7" s="5" t="s">
        <v>132</v>
      </c>
      <c r="F7" s="5" t="s">
        <v>28</v>
      </c>
      <c r="G7" s="5" t="str" cm="1">
        <f t="array" ref="G7">IF(AND(TableCleaned[Check_ColumnO_&amp;_ColumnP_1]=0,TableCleaned[Check_ColumnO_&amp;_ColumnP_2]=0),"OK", "Mismatch")</f>
        <v>Mismatch</v>
      </c>
      <c r="H7" s="5" t="str">
        <f>IF(TableCoreValidation[[#This Row],[Result]]=TableCoreValidation[[#This Row],[Expected]], "Pass", "Fail")</f>
        <v>Fail</v>
      </c>
      <c r="I7" s="5" t="s">
        <v>150</v>
      </c>
    </row>
    <row r="8" spans="2:9" x14ac:dyDescent="0.35">
      <c r="B8" s="5" t="s">
        <v>116</v>
      </c>
      <c r="C8" s="5" t="s">
        <v>117</v>
      </c>
      <c r="D8" s="5" t="s">
        <v>126</v>
      </c>
      <c r="E8" s="5" t="s">
        <v>129</v>
      </c>
      <c r="F8" s="5" t="s">
        <v>28</v>
      </c>
      <c r="G8" s="5" t="str">
        <f>IF(COUNTIF(TableCleaned[Outdated_Check], "Outdated")=0, "OK", "Outedated Found")</f>
        <v>Outedated Found</v>
      </c>
      <c r="H8" s="5" t="str">
        <f>IF(TableCoreValidation[[#This Row],[Result]]=TableCoreValidation[[#This Row],[Expected]], "Pass", "Fail")</f>
        <v>Fail</v>
      </c>
      <c r="I8" s="5" t="s">
        <v>149</v>
      </c>
    </row>
    <row r="9" spans="2:9" x14ac:dyDescent="0.35">
      <c r="B9" s="5" t="s">
        <v>110</v>
      </c>
      <c r="C9" s="5" t="s">
        <v>111</v>
      </c>
      <c r="D9" s="5" t="s">
        <v>119</v>
      </c>
      <c r="E9" s="5" t="s">
        <v>135</v>
      </c>
      <c r="F9" s="5" t="s">
        <v>28</v>
      </c>
      <c r="G9" s="5" t="str">
        <f>IF('4.Cleaned_Data'!F2&lt;'4.Cleaned_Data'!D2, "Invalid", "OK")</f>
        <v>OK</v>
      </c>
      <c r="H9" s="5" t="str">
        <f>IF(TableCoreValidation[[#This Row],[Result]]=TableCoreValidation[[#This Row],[Expected]], "Pass", "Fail")</f>
        <v>Pass</v>
      </c>
      <c r="I9" s="5" t="s">
        <v>147</v>
      </c>
    </row>
    <row r="10" spans="2:9" x14ac:dyDescent="0.35">
      <c r="B10" s="5" t="s">
        <v>113</v>
      </c>
      <c r="C10" s="5" t="s">
        <v>136</v>
      </c>
      <c r="D10" s="5" t="s">
        <v>122</v>
      </c>
      <c r="E10" s="5" t="s">
        <v>137</v>
      </c>
      <c r="F10" s="5" t="s">
        <v>28</v>
      </c>
      <c r="G10" s="5" t="str" cm="1">
        <f t="array" ref="G10">IF(SUMPRODUCT(--((TableCleaned[Notes]="Test") + (TableCleaned[Notes]="N/A")))&gt;0, "Irrelevant Found", "OK")</f>
        <v>OK</v>
      </c>
      <c r="H10" s="5" t="str">
        <f>IF(TableCoreValidation[[#This Row],[Result]]=TableCoreValidation[[#This Row],[Expected]], "Pass", "Fail")</f>
        <v>Pass</v>
      </c>
      <c r="I10" s="5" t="s">
        <v>147</v>
      </c>
    </row>
    <row r="12" spans="2:9" ht="16.5" x14ac:dyDescent="0.45">
      <c r="B12" s="50" t="s">
        <v>115</v>
      </c>
      <c r="C12" s="47" t="str">
        <f>IF(COUNTIF(TableCoreValidation[Status],"Fail")=0,"✅ All Tests Passed","❌ Some Tests Failed")</f>
        <v>❌ Some Tests Failed</v>
      </c>
    </row>
  </sheetData>
  <mergeCells count="1">
    <mergeCell ref="B1:I1"/>
  </mergeCells>
  <conditionalFormatting sqref="H4:H10">
    <cfRule type="cellIs" dxfId="33" priority="3" operator="equal">
      <formula>"Fail"</formula>
    </cfRule>
    <cfRule type="cellIs" dxfId="32" priority="4" operator="equal">
      <formula>"Pass"</formula>
    </cfRule>
  </conditionalFormatting>
  <conditionalFormatting sqref="C12">
    <cfRule type="cellIs" dxfId="31" priority="1" operator="equal">
      <formula>"❌ Some Tests Failed"</formula>
    </cfRule>
    <cfRule type="cellIs" dxfId="30" priority="2" operator="equal">
      <formula>"✅ All Tests Passed"</formula>
    </cfRule>
  </conditionalFormatting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F7140-128A-4782-9825-BCCA2C51BB8C}">
  <dimension ref="B1:I14"/>
  <sheetViews>
    <sheetView tabSelected="1" topLeftCell="D1" zoomScale="50" zoomScaleNormal="50" workbookViewId="0">
      <selection activeCell="I12" sqref="I12"/>
    </sheetView>
  </sheetViews>
  <sheetFormatPr defaultRowHeight="14.5" x14ac:dyDescent="0.35"/>
  <cols>
    <col min="1" max="1" width="2.7265625" style="46" customWidth="1"/>
    <col min="2" max="2" width="24.1796875" style="46" bestFit="1" customWidth="1"/>
    <col min="3" max="3" width="100" style="46" bestFit="1" customWidth="1"/>
    <col min="4" max="4" width="17.08984375" style="46" bestFit="1" customWidth="1"/>
    <col min="5" max="5" width="147.36328125" style="46" bestFit="1" customWidth="1"/>
    <col min="6" max="6" width="10.7265625" style="46" bestFit="1" customWidth="1"/>
    <col min="7" max="7" width="10.08984375" style="46" bestFit="1" customWidth="1"/>
    <col min="8" max="8" width="8.36328125" style="46" bestFit="1" customWidth="1"/>
    <col min="9" max="9" width="52.26953125" style="46" bestFit="1" customWidth="1"/>
    <col min="10" max="16384" width="8.7265625" style="46"/>
  </cols>
  <sheetData>
    <row r="1" spans="2:9" s="53" customFormat="1" ht="21" x14ac:dyDescent="0.5">
      <c r="B1" s="70" t="s">
        <v>161</v>
      </c>
      <c r="C1" s="70"/>
      <c r="D1" s="70"/>
      <c r="E1" s="70"/>
      <c r="F1" s="70"/>
      <c r="G1" s="70"/>
      <c r="H1" s="70"/>
      <c r="I1" s="70"/>
    </row>
    <row r="2" spans="2:9" x14ac:dyDescent="0.35">
      <c r="F2" s="48"/>
      <c r="G2" s="48"/>
      <c r="H2" s="48"/>
      <c r="I2" s="48"/>
    </row>
    <row r="3" spans="2:9" s="45" customFormat="1" x14ac:dyDescent="0.35">
      <c r="B3" s="5" t="s">
        <v>60</v>
      </c>
      <c r="C3" s="5" t="s">
        <v>103</v>
      </c>
      <c r="D3" s="5" t="s">
        <v>104</v>
      </c>
      <c r="E3" s="5" t="s">
        <v>61</v>
      </c>
      <c r="F3" s="5" t="s">
        <v>62</v>
      </c>
      <c r="G3" s="5" t="s">
        <v>63</v>
      </c>
      <c r="H3" s="5" t="s">
        <v>64</v>
      </c>
      <c r="I3" s="5" t="s">
        <v>29</v>
      </c>
    </row>
    <row r="4" spans="2:9" x14ac:dyDescent="0.35">
      <c r="B4" s="5" t="s">
        <v>65</v>
      </c>
      <c r="C4" s="5" t="s">
        <v>108</v>
      </c>
      <c r="D4" s="5" t="s">
        <v>118</v>
      </c>
      <c r="E4" s="5" t="s">
        <v>79</v>
      </c>
      <c r="F4" s="5" t="s">
        <v>28</v>
      </c>
      <c r="G4" s="5" t="str">
        <f>IF(SUM(TableCleaned[Amount_IRR])=GETPIVOTDATA("Amount_IRR",'7.1Aging_Report'!$B$3),"OK","Mismatch")</f>
        <v>OK</v>
      </c>
      <c r="H4" s="5" t="str">
        <f>IF(TableStruc.Validation[[#This Row],[Result]]=TableStruc.Validation[[#This Row],[Expected]], "Pass", "Fail")</f>
        <v>Pass</v>
      </c>
      <c r="I4" s="5" t="s">
        <v>148</v>
      </c>
    </row>
    <row r="5" spans="2:9" x14ac:dyDescent="0.35">
      <c r="B5" s="5" t="s">
        <v>66</v>
      </c>
      <c r="C5" s="5" t="s">
        <v>138</v>
      </c>
      <c r="D5" s="5" t="s">
        <v>125</v>
      </c>
      <c r="E5" s="5" t="s">
        <v>139</v>
      </c>
      <c r="F5" s="5" t="s">
        <v>28</v>
      </c>
      <c r="G5" s="5" t="str">
        <f>IF(ROWS(TableRaw[RowID])=ROWS(TableCleaned[RowID]),"OK", "Missing")</f>
        <v>Missing</v>
      </c>
      <c r="H5" s="5" t="str">
        <f>IF(TableStruc.Validation[[#This Row],[Result]]=TableStruc.Validation[[#This Row],[Expected]], "Pass", "Fail")</f>
        <v>Fail</v>
      </c>
      <c r="I5" s="5" t="s">
        <v>151</v>
      </c>
    </row>
    <row r="6" spans="2:9" x14ac:dyDescent="0.35">
      <c r="B6" s="5" t="s">
        <v>67</v>
      </c>
      <c r="C6" s="5" t="s">
        <v>141</v>
      </c>
      <c r="D6" s="5" t="s">
        <v>142</v>
      </c>
      <c r="E6" s="5" t="s">
        <v>90</v>
      </c>
      <c r="F6" s="5" t="s">
        <v>28</v>
      </c>
      <c r="G6" s="5" t="str">
        <f>IF(SUM(TableCleaned[DaysOverDue])=SUM(TableCleaned[Check_PaymentDate_&amp;_ReportDate]),"OK","Mismatch")</f>
        <v>OK</v>
      </c>
      <c r="H6" s="5" t="str">
        <f>IF(TableStruc.Validation[[#This Row],[Result]]=TableStruc.Validation[[#This Row],[Expected]], "Pass", "Fail")</f>
        <v>Pass</v>
      </c>
      <c r="I6" s="5" t="s">
        <v>148</v>
      </c>
    </row>
    <row r="7" spans="2:9" x14ac:dyDescent="0.35">
      <c r="B7" s="5" t="s">
        <v>69</v>
      </c>
      <c r="C7" s="5" t="s">
        <v>105</v>
      </c>
      <c r="D7" s="5" t="s">
        <v>124</v>
      </c>
      <c r="E7" s="5" t="s">
        <v>82</v>
      </c>
      <c r="F7" s="5" t="s">
        <v>28</v>
      </c>
      <c r="G7" s="5" t="str">
        <f>IF(COUNTBLANK(TableCleaned[CustomerID])=0, "OK","Missing CustomerID")</f>
        <v>OK</v>
      </c>
      <c r="H7" s="5" t="str">
        <f>IF(TableStruc.Validation[[#This Row],[Result]]=TableStruc.Validation[[#This Row],[Expected]], "Pass", "Fail")</f>
        <v>Pass</v>
      </c>
      <c r="I7" s="5" t="s">
        <v>148</v>
      </c>
    </row>
    <row r="8" spans="2:9" x14ac:dyDescent="0.35">
      <c r="B8" s="5" t="s">
        <v>71</v>
      </c>
      <c r="C8" s="5" t="s">
        <v>112</v>
      </c>
      <c r="D8" s="5" t="s">
        <v>125</v>
      </c>
      <c r="E8" s="5" t="s">
        <v>74</v>
      </c>
      <c r="F8" s="5" t="s">
        <v>28</v>
      </c>
      <c r="G8" s="5" t="str">
        <f>IF(COUNTBLANK(TableCleaned[RowID])&gt;0, "RowID Missing","OK")</f>
        <v>OK</v>
      </c>
      <c r="H8" s="5" t="str">
        <f>IF(TableStruc.Validation[[#This Row],[Result]]=TableStruc.Validation[[#This Row],[Expected]], "Pass", "Fail")</f>
        <v>Pass</v>
      </c>
      <c r="I8" s="5" t="s">
        <v>148</v>
      </c>
    </row>
    <row r="9" spans="2:9" x14ac:dyDescent="0.35">
      <c r="B9" s="5" t="s">
        <v>72</v>
      </c>
      <c r="C9" s="5" t="s">
        <v>140</v>
      </c>
      <c r="D9" s="5" t="s">
        <v>144</v>
      </c>
      <c r="E9" s="5" t="s">
        <v>127</v>
      </c>
      <c r="F9" s="5" t="s">
        <v>28</v>
      </c>
      <c r="G9" s="5" t="str">
        <f>IF((ROWS(TableCleaned[])+COUNTIFS(TableChangeLog[Change_Type],"Archived")+COUNTIFS(TableChangeLog[Change_Type],"Removed"))=COUNTA(TableRaw[RowID]),"OK","Missing")</f>
        <v>Missing</v>
      </c>
      <c r="H9" s="5" t="str">
        <f>IF(TableStruc.Validation[[#This Row],[Result]]=TableStruc.Validation[[#This Row],[Expected]], "Pass", "Fail")</f>
        <v>Fail</v>
      </c>
      <c r="I9" s="5" t="s">
        <v>152</v>
      </c>
    </row>
    <row r="10" spans="2:9" x14ac:dyDescent="0.35">
      <c r="B10" s="5" t="s">
        <v>73</v>
      </c>
      <c r="C10" s="5" t="s">
        <v>143</v>
      </c>
      <c r="D10" s="5" t="s">
        <v>144</v>
      </c>
      <c r="E10" s="5" t="s">
        <v>75</v>
      </c>
      <c r="F10" s="5" t="s">
        <v>28</v>
      </c>
      <c r="G10" s="5" t="str">
        <f>IF(COUNTIF(TableCleaned[RowID],'3.Raw Data_sort'!#REF!)=0,"Missing", "OK")</f>
        <v>Missing</v>
      </c>
      <c r="H10" s="5" t="str">
        <f>IF(TableStruc.Validation[[#This Row],[Result]]=TableStruc.Validation[[#This Row],[Expected]], "Pass", "Fail")</f>
        <v>Fail</v>
      </c>
      <c r="I10" s="5" t="s">
        <v>176</v>
      </c>
    </row>
    <row r="11" spans="2:9" x14ac:dyDescent="0.35">
      <c r="B11" s="5" t="s">
        <v>76</v>
      </c>
      <c r="C11" s="5" t="s">
        <v>145</v>
      </c>
      <c r="D11" s="5" t="s">
        <v>146</v>
      </c>
      <c r="E11" s="5" t="s">
        <v>102</v>
      </c>
      <c r="F11" s="5" t="s">
        <v>28</v>
      </c>
      <c r="G11" s="5" t="str">
        <f>IF(MAX(TableCleaned[RowID])-MIN(TableCleaned[RowID])+1=COUNTA(TableCleaned[RowID]),"OK","Gap Fuond")</f>
        <v>OK</v>
      </c>
      <c r="H11" s="5" t="str">
        <f>IF(TableStruc.Validation[[#This Row],[Result]]=TableStruc.Validation[[#This Row],[Expected]], "Pass", "Fail")</f>
        <v>Pass</v>
      </c>
      <c r="I11" s="5" t="s">
        <v>148</v>
      </c>
    </row>
    <row r="12" spans="2:9" x14ac:dyDescent="0.35">
      <c r="B12" s="5" t="s">
        <v>77</v>
      </c>
      <c r="C12" s="5" t="s">
        <v>114</v>
      </c>
      <c r="D12" s="5" t="s">
        <v>120</v>
      </c>
      <c r="E12" s="5" t="s">
        <v>94</v>
      </c>
      <c r="F12" s="5" t="s">
        <v>31</v>
      </c>
      <c r="G12" s="5" t="str">
        <f>IF(COUNTIF(TableCleaned[ChangeLog_Status], "Not Logged")=0, "OK", "Not Synced")</f>
        <v>Not Synced</v>
      </c>
      <c r="H12" s="5" t="str">
        <f>IF(TableStruc.Validation[[#This Row],[Result]]=TableStruc.Validation[[#This Row],[Expected]], "Pass", "Fail")</f>
        <v>Fail</v>
      </c>
      <c r="I12" s="5" t="s">
        <v>177</v>
      </c>
    </row>
    <row r="14" spans="2:9" ht="16.5" x14ac:dyDescent="0.45">
      <c r="B14" s="50" t="s">
        <v>115</v>
      </c>
      <c r="C14" s="47" t="str">
        <f>IF(COUNTIF(TableStruc.Validation[Status],"Fail")=0,"✅ All Tests Passed","❌ Some Tests Failed")</f>
        <v>❌ Some Tests Failed</v>
      </c>
    </row>
  </sheetData>
  <mergeCells count="1">
    <mergeCell ref="B1:I1"/>
  </mergeCells>
  <conditionalFormatting sqref="C14">
    <cfRule type="cellIs" dxfId="19" priority="3" operator="equal">
      <formula>"❌ Some Tests Failed"</formula>
    </cfRule>
    <cfRule type="cellIs" dxfId="18" priority="4" operator="equal">
      <formula>"✅ All Tests Passed"</formula>
    </cfRule>
  </conditionalFormatting>
  <conditionalFormatting sqref="H4:H12">
    <cfRule type="cellIs" dxfId="17" priority="1" operator="equal">
      <formula>"Fail"</formula>
    </cfRule>
    <cfRule type="cellIs" dxfId="16" priority="2" operator="equal">
      <formula>"Pass"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1D120-B15F-431A-B844-184438997AA3}">
  <dimension ref="B1:K8"/>
  <sheetViews>
    <sheetView zoomScaleNormal="100" workbookViewId="0">
      <selection activeCell="J5" sqref="J5"/>
    </sheetView>
  </sheetViews>
  <sheetFormatPr defaultRowHeight="14.5" x14ac:dyDescent="0.35"/>
  <cols>
    <col min="1" max="1" width="2" style="43" customWidth="1"/>
    <col min="2" max="3" width="21.6328125" style="43" customWidth="1"/>
    <col min="4" max="5" width="8.7265625" style="43"/>
    <col min="6" max="7" width="21.6328125" style="43" customWidth="1"/>
    <col min="8" max="9" width="8.7265625" style="43"/>
    <col min="10" max="10" width="26.36328125" style="43" bestFit="1" customWidth="1"/>
    <col min="11" max="16384" width="8.7265625" style="43"/>
  </cols>
  <sheetData>
    <row r="1" spans="2:11" x14ac:dyDescent="0.35">
      <c r="B1" s="71" t="s">
        <v>156</v>
      </c>
      <c r="C1" s="71"/>
      <c r="F1" s="71" t="s">
        <v>157</v>
      </c>
      <c r="G1" s="71"/>
      <c r="J1" s="71" t="s">
        <v>158</v>
      </c>
      <c r="K1" s="71"/>
    </row>
    <row r="2" spans="2:11" x14ac:dyDescent="0.35">
      <c r="B2" s="38" t="s">
        <v>64</v>
      </c>
      <c r="C2" s="38" t="s">
        <v>153</v>
      </c>
      <c r="F2" s="38" t="s">
        <v>64</v>
      </c>
      <c r="G2" s="38" t="s">
        <v>153</v>
      </c>
      <c r="J2" s="39" t="s">
        <v>159</v>
      </c>
      <c r="K2" s="61">
        <f>COUNTIF(TableCoreValidation[Status], "Pass")/ROWS(TableCoreValidation[Status])</f>
        <v>0.7142857142857143</v>
      </c>
    </row>
    <row r="3" spans="2:11" x14ac:dyDescent="0.35">
      <c r="B3" s="40" t="s">
        <v>154</v>
      </c>
      <c r="C3" s="40">
        <f>COUNTIF(TableCoreValidation[Status], "Pass")</f>
        <v>5</v>
      </c>
      <c r="F3" s="40" t="s">
        <v>154</v>
      </c>
      <c r="G3" s="40">
        <f>COUNTIF(TableStruc.Validation[Status], "Pass")</f>
        <v>5</v>
      </c>
      <c r="J3" s="41" t="s">
        <v>160</v>
      </c>
      <c r="K3" s="62">
        <f>COUNTIF(TableStruc.Validation[Status],"Pass")/ROWS(TableStruc.Validation[Status])</f>
        <v>0.55555555555555558</v>
      </c>
    </row>
    <row r="4" spans="2:11" x14ac:dyDescent="0.35">
      <c r="B4" s="42" t="s">
        <v>155</v>
      </c>
      <c r="C4" s="42">
        <f>COUNTIF(TableCoreValidation[Status],"Fail")</f>
        <v>2</v>
      </c>
      <c r="F4" s="42" t="s">
        <v>155</v>
      </c>
      <c r="G4" s="42">
        <f>COUNTIF(TableStruc.Validation[Status], "Fail")</f>
        <v>4</v>
      </c>
      <c r="J4" s="39" t="s">
        <v>165</v>
      </c>
      <c r="K4" s="61">
        <f>(SUM(COUNTIF(TableCoreValidation[Status], "Pass"),COUNTIF(TableStruc.Validation[Status],"Pass")))/(SUM(ROWS(TableCoreValidation[Status]),ROWS(TableStruc.Validation[Status])))</f>
        <v>0.625</v>
      </c>
    </row>
    <row r="7" spans="2:11" ht="43.5" customHeight="1" x14ac:dyDescent="0.35">
      <c r="J7" s="72" t="str">
        <f>IF(COUNTIF('8.1 Core_Validation_Test'!H10, "Fail")+COUNTIF(TableStruc.Validation[Status],"Fail")=0, "All Tests Passed - Data Quality fully compliantwith FBA standards.", "Some Test Failed - Review validation log before ERP submission.")</f>
        <v>Some Test Failed - Review validation log before ERP submission.</v>
      </c>
      <c r="K7" s="72"/>
    </row>
    <row r="8" spans="2:11" x14ac:dyDescent="0.35">
      <c r="J8" s="44"/>
      <c r="K8" s="44"/>
    </row>
  </sheetData>
  <mergeCells count="4">
    <mergeCell ref="B1:C1"/>
    <mergeCell ref="F1:G1"/>
    <mergeCell ref="J1:K1"/>
    <mergeCell ref="J7:K7"/>
  </mergeCells>
  <conditionalFormatting sqref="J7">
    <cfRule type="cellIs" dxfId="5" priority="1" operator="equal">
      <formula>"All Tests Passed - Data Quality fully compliantwith FBA standards."</formula>
    </cfRule>
    <cfRule type="cellIs" dxfId="4" priority="2" operator="equal">
      <formula>"Some Test Failed - Review validation log before ERP submission."</formula>
    </cfRule>
  </conditionalFormatting>
  <pageMargins left="0.7" right="0.7" top="0.75" bottom="0.75" header="0.3" footer="0.3"/>
  <pageSetup paperSize="9" orientation="portrait" horizontalDpi="200" verticalDpi="200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1.Cover Page</vt:lpstr>
      <vt:lpstr>2.Raw Data_original</vt:lpstr>
      <vt:lpstr>3.Raw Data_sort</vt:lpstr>
      <vt:lpstr>4.Cleaned_Data</vt:lpstr>
      <vt:lpstr>5.Report_Info</vt:lpstr>
      <vt:lpstr>6.ChangeLog</vt:lpstr>
      <vt:lpstr>7.1Aging_Report</vt:lpstr>
      <vt:lpstr>7.2 Aging_Report_Final</vt:lpstr>
      <vt:lpstr>8.1 Core_Validation_Test</vt:lpstr>
      <vt:lpstr>8.2 Structural_Validation_Test</vt:lpstr>
      <vt:lpstr>9.Dashboard_FBA_Quality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Reyhaneh Hajili</dc:creator>
  <cp:lastModifiedBy>Reyhaneh</cp:lastModifiedBy>
  <dcterms:created xsi:type="dcterms:W3CDTF">2025-09-27T19:35:12Z</dcterms:created>
  <dcterms:modified xsi:type="dcterms:W3CDTF">2025-10-13T08:49:41Z</dcterms:modified>
</cp:coreProperties>
</file>