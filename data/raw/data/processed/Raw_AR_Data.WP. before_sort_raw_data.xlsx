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yha\Desktop\FBA.Dynamics365\"/>
    </mc:Choice>
  </mc:AlternateContent>
  <xr:revisionPtr revIDLastSave="0" documentId="8_{EC517C2C-F096-49DD-AE13-59AFBE7107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  <sheet name="Cleaned Data" sheetId="2" r:id="rId2"/>
  </sheets>
  <definedNames>
    <definedName name="_xlnm._FilterDatabase" localSheetId="1" hidden="1">'Cleaned Data'!$A$1:$E$42</definedName>
    <definedName name="_xlnm._FilterDatabase" localSheetId="0" hidden="1">'Raw Data'!$A$1:$J$42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1" l="1"/>
  <c r="H4" i="1"/>
  <c r="H3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2" i="1"/>
  <c r="I34" i="1"/>
  <c r="I5" i="1"/>
  <c r="I4" i="1"/>
  <c r="I3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5" i="1"/>
  <c r="I36" i="1"/>
  <c r="I37" i="1"/>
  <c r="I38" i="1"/>
  <c r="I39" i="1"/>
  <c r="I40" i="1"/>
  <c r="I41" i="1"/>
  <c r="I42" i="1"/>
  <c r="I2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3" i="1"/>
  <c r="H34" i="1"/>
  <c r="H35" i="1"/>
  <c r="H36" i="1"/>
  <c r="H37" i="1"/>
  <c r="H38" i="1"/>
  <c r="H39" i="1"/>
  <c r="H40" i="1"/>
  <c r="H41" i="1"/>
  <c r="H42" i="1"/>
  <c r="H2" i="1"/>
  <c r="G7" i="1" l="1"/>
  <c r="G8" i="1"/>
  <c r="G36" i="1"/>
  <c r="G28" i="1"/>
  <c r="G20" i="1"/>
  <c r="G12" i="1"/>
  <c r="G35" i="1"/>
  <c r="G4" i="1"/>
  <c r="G27" i="1"/>
  <c r="G3" i="1"/>
  <c r="G26" i="1"/>
  <c r="G18" i="1"/>
  <c r="G10" i="1"/>
  <c r="G41" i="1"/>
  <c r="G33" i="1"/>
  <c r="G25" i="1"/>
  <c r="G17" i="1"/>
  <c r="G9" i="1"/>
  <c r="G40" i="1"/>
  <c r="G32" i="1"/>
  <c r="G24" i="1"/>
  <c r="G16" i="1"/>
  <c r="G39" i="1"/>
  <c r="G31" i="1"/>
  <c r="G23" i="1"/>
  <c r="G15" i="1"/>
  <c r="G38" i="1"/>
  <c r="G30" i="1"/>
  <c r="G22" i="1"/>
  <c r="G14" i="1"/>
  <c r="G6" i="1"/>
  <c r="G2" i="1"/>
  <c r="G5" i="1"/>
  <c r="G42" i="1"/>
  <c r="G34" i="1"/>
  <c r="G21" i="1"/>
  <c r="G13" i="1"/>
  <c r="G37" i="1"/>
  <c r="G29" i="1"/>
  <c r="G19" i="1"/>
  <c r="G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Reyhaneh Hajili</author>
  </authors>
  <commentList>
    <comment ref="D1" authorId="0" shapeId="0" xr:uid="{19EC867E-9724-463B-AA5B-F1D2B9B0E90C}">
      <text>
        <r>
          <rPr>
            <b/>
            <sz val="9"/>
            <color indexed="81"/>
            <rFont val="Tahoma"/>
            <family val="2"/>
          </rPr>
          <t>Reyhaneh Hajili:</t>
        </r>
        <r>
          <rPr>
            <sz val="9"/>
            <color indexed="81"/>
            <rFont val="Tahoma"/>
            <family val="2"/>
          </rPr>
          <t xml:space="preserve">
for finding the values less than 100,000 and greater than 1,000,000
-ERROR
MISING DATA</t>
        </r>
      </text>
    </comment>
    <comment ref="E1" authorId="0" shapeId="0" xr:uid="{05CFC42B-6AEA-44DD-BCF2-9937D270DE0D}">
      <text>
        <r>
          <rPr>
            <b/>
            <sz val="9"/>
            <color indexed="81"/>
            <rFont val="Tahoma"/>
            <family val="2"/>
          </rPr>
          <t>Reyhaneh Hajili:</t>
        </r>
        <r>
          <rPr>
            <sz val="9"/>
            <color indexed="81"/>
            <rFont val="Tahoma"/>
            <family val="2"/>
          </rPr>
          <t xml:space="preserve">
for finding the blank value in cell- ERROR
 MISING DATA</t>
        </r>
      </text>
    </comment>
    <comment ref="G1" authorId="0" shapeId="0" xr:uid="{B7962796-3B9E-4B57-8B55-E677D919D1A0}">
      <text>
        <r>
          <rPr>
            <b/>
            <sz val="9"/>
            <color indexed="81"/>
            <rFont val="Tahoma"/>
            <charset val="1"/>
          </rPr>
          <t>Reyhaneh Hajili:</t>
        </r>
        <r>
          <rPr>
            <sz val="9"/>
            <color indexed="81"/>
            <rFont val="Tahoma"/>
            <charset val="1"/>
          </rPr>
          <t xml:space="preserve">
duplicate data / error
3. ترکیب CustomerID + InvoiceDate
این ترکیب می‌گه: "این مشتری در این تاریخ یک فاکتور داشته است".
پس اگر دوباره دقیقاً همین ترکیب در داده دیده بشه، احتمالاً یک رکورد تکراری هست.
</t>
        </r>
      </text>
    </comment>
    <comment ref="H1" authorId="0" shapeId="0" xr:uid="{93408FD7-200C-41DD-BFA3-7DD57A59C079}">
      <text>
        <r>
          <rPr>
            <b/>
            <sz val="9"/>
            <color indexed="81"/>
            <rFont val="Tahoma"/>
            <charset val="1"/>
          </rPr>
          <t>Reyhaneh Hajili:</t>
        </r>
        <r>
          <rPr>
            <sz val="9"/>
            <color indexed="81"/>
            <rFont val="Tahoma"/>
            <charset val="1"/>
          </rPr>
          <t xml:space="preserve">
inconsistent data / error
btw column A and B.</t>
        </r>
      </text>
    </comment>
    <comment ref="I1" authorId="0" shapeId="0" xr:uid="{700886F3-B653-4114-A37E-1508D336E7E9}">
      <text>
        <r>
          <rPr>
            <b/>
            <sz val="9"/>
            <color indexed="81"/>
            <rFont val="Tahoma"/>
            <family val="2"/>
          </rPr>
          <t>Reyhaneh Hajili:</t>
        </r>
        <r>
          <rPr>
            <sz val="9"/>
            <color indexed="81"/>
            <rFont val="Tahoma"/>
            <family val="2"/>
          </rPr>
          <t xml:space="preserve">
inconsistent data btw column c and e
inconsistent = paymentdata&lt; invoicedata. 
Yani, pardakht shode bad invoice sader shode</t>
        </r>
      </text>
    </comment>
  </commentList>
</comments>
</file>

<file path=xl/sharedStrings.xml><?xml version="1.0" encoding="utf-8"?>
<sst xmlns="http://schemas.openxmlformats.org/spreadsheetml/2006/main" count="246" uniqueCount="38">
  <si>
    <t>CustomerID</t>
  </si>
  <si>
    <t>CustomerName</t>
  </si>
  <si>
    <t>InvoiceDate</t>
  </si>
  <si>
    <t>Amount_IRR</t>
  </si>
  <si>
    <t>PaymentDate</t>
  </si>
  <si>
    <t>C002</t>
  </si>
  <si>
    <t>C004</t>
  </si>
  <si>
    <t>C005</t>
  </si>
  <si>
    <t>C003</t>
  </si>
  <si>
    <t>C001</t>
  </si>
  <si>
    <t>Sara Market</t>
  </si>
  <si>
    <t>Reza Shop</t>
  </si>
  <si>
    <t>Neda Store</t>
  </si>
  <si>
    <t>Ali Supermarket</t>
  </si>
  <si>
    <t>Mahdi Store</t>
  </si>
  <si>
    <t>2025-09-20</t>
  </si>
  <si>
    <t>2025-09-03</t>
  </si>
  <si>
    <t>2025-09-29</t>
  </si>
  <si>
    <t>2025-09-26</t>
  </si>
  <si>
    <t>2025-09-16</t>
  </si>
  <si>
    <t>2025-09-07</t>
  </si>
  <si>
    <t>2025-09-23</t>
  </si>
  <si>
    <t>2025-09-04</t>
  </si>
  <si>
    <t>2025-09-06</t>
  </si>
  <si>
    <t>2025-09-09</t>
  </si>
  <si>
    <t>2025-09-18</t>
  </si>
  <si>
    <t>2025-09-30</t>
  </si>
  <si>
    <t>2025-09-24</t>
  </si>
  <si>
    <t>2025-09-13</t>
  </si>
  <si>
    <t>2025-09-05</t>
  </si>
  <si>
    <t>2025-09-28</t>
  </si>
  <si>
    <t>2025-09-12</t>
  </si>
  <si>
    <t>2025-09-25</t>
  </si>
  <si>
    <t>2025-09-15</t>
  </si>
  <si>
    <t>CheckIDName</t>
  </si>
  <si>
    <t>CheckKey-1</t>
  </si>
  <si>
    <t>CheckKey-2</t>
  </si>
  <si>
    <t>CheckPaymentData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</si>
</sst>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73" formatCode="yyyy/mm/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173" fontId="1" fillId="0" borderId="1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165" fontId="1" fillId="0" borderId="2" xfId="0" applyNumberFormat="1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/>
    <xf numFmtId="1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NumberFormat="1" applyFill="1"/>
    <xf numFmtId="173" fontId="0" fillId="0" borderId="0" xfId="0" applyNumberFormat="1" applyFill="1" applyAlignment="1">
      <alignment horizontal="left"/>
    </xf>
    <xf numFmtId="165" fontId="0" fillId="0" borderId="0" xfId="0" applyNumberFormat="1" applyFill="1"/>
  </cellXfs>
  <cellStyles count="1">
    <cellStyle name="Normal" xfId="0" builtinId="0"/>
  </cellStyles>
  <dxfs count="6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B46" sqref="B46"/>
    </sheetView>
  </sheetViews>
  <sheetFormatPr defaultRowHeight="14.5" x14ac:dyDescent="0.35"/>
  <cols>
    <col min="1" max="1" width="15.36328125" style="8" bestFit="1" customWidth="1"/>
    <col min="2" max="2" width="18.54296875" style="8" bestFit="1" customWidth="1"/>
    <col min="3" max="3" width="13" style="12" bestFit="1" customWidth="1"/>
    <col min="4" max="4" width="15.90625" style="7" bestFit="1" customWidth="1"/>
    <col min="5" max="5" width="14.54296875" style="10" bestFit="1" customWidth="1"/>
    <col min="6" max="6" width="14.90625" style="7" bestFit="1" customWidth="1"/>
    <col min="7" max="7" width="15" style="8" bestFit="1" customWidth="1"/>
    <col min="8" max="8" width="17.08984375" style="8" bestFit="1" customWidth="1"/>
    <col min="9" max="9" width="19.7265625" style="8" bestFit="1" customWidth="1"/>
    <col min="10" max="10" width="24.36328125" style="13" bestFit="1" customWidth="1"/>
    <col min="11" max="16384" width="8.7265625" style="8"/>
  </cols>
  <sheetData>
    <row r="1" spans="1:11" s="7" customFormat="1" x14ac:dyDescent="0.3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35</v>
      </c>
      <c r="G1" s="5" t="s">
        <v>36</v>
      </c>
      <c r="H1" s="5" t="s">
        <v>34</v>
      </c>
      <c r="I1" s="5" t="s">
        <v>37</v>
      </c>
      <c r="J1" s="6"/>
      <c r="K1" s="6"/>
    </row>
    <row r="2" spans="1:11" x14ac:dyDescent="0.35">
      <c r="A2" s="8" t="s">
        <v>5</v>
      </c>
      <c r="B2" s="8" t="s">
        <v>10</v>
      </c>
      <c r="C2" s="9" t="s">
        <v>15</v>
      </c>
      <c r="D2" s="10">
        <v>500000</v>
      </c>
      <c r="E2" s="9" t="s">
        <v>30</v>
      </c>
      <c r="F2" s="8" t="str">
        <f t="shared" ref="F2:F42" si="0">$A2&amp;"-"&amp;TEXT( $C2,"yyyy-mm-dd")</f>
        <v>C002-2025-09-20</v>
      </c>
      <c r="G2" s="8" t="str">
        <f>IF(COUNTIF($F$2:$F$42,F2)&gt;1, "Duplicate", "Ok")</f>
        <v>Ok</v>
      </c>
      <c r="H2" s="8" t="str">
        <f>IF(B2 =VLOOKUP($A2,$A$2:$B$42,2,FALSE), "OK", "Mismatch")</f>
        <v>OK</v>
      </c>
      <c r="I2" s="8" t="str">
        <f>IF(C2&gt;E2, "Inconsistent", "OK")</f>
        <v>OK</v>
      </c>
      <c r="J2" s="11"/>
    </row>
    <row r="3" spans="1:11" x14ac:dyDescent="0.35">
      <c r="A3" s="8" t="s">
        <v>5</v>
      </c>
      <c r="B3" s="8" t="s">
        <v>10</v>
      </c>
      <c r="C3" s="9" t="s">
        <v>16</v>
      </c>
      <c r="D3" s="10">
        <v>100000</v>
      </c>
      <c r="E3" s="9" t="s">
        <v>22</v>
      </c>
      <c r="F3" s="8" t="str">
        <f t="shared" si="0"/>
        <v>C002-2025-09-03</v>
      </c>
      <c r="G3" s="8" t="str">
        <f t="shared" ref="G3:G42" si="1">IF(COUNTIF($F$2:$F$42,F3)&gt;1, "Duplicate", "Ok")</f>
        <v>Ok</v>
      </c>
      <c r="H3" s="8" t="str">
        <f t="shared" ref="H3:H42" si="2">IF(B3 =VLOOKUP($A3,$A$2:$B$42,2,FALSE), "OK", "Mismatch")</f>
        <v>OK</v>
      </c>
      <c r="I3" s="8" t="str">
        <f t="shared" ref="I3:I42" si="3">IF(C3&gt;E3, "Inconsistent", "OK")</f>
        <v>OK</v>
      </c>
      <c r="J3" s="11"/>
    </row>
    <row r="4" spans="1:11" x14ac:dyDescent="0.35">
      <c r="A4" s="8" t="s">
        <v>5</v>
      </c>
      <c r="B4" s="8" t="s">
        <v>11</v>
      </c>
      <c r="C4" s="9">
        <v>45921</v>
      </c>
      <c r="D4" s="10">
        <v>1200000</v>
      </c>
      <c r="E4" s="9">
        <v>45922</v>
      </c>
      <c r="F4" s="8" t="str">
        <f t="shared" si="0"/>
        <v>C002-2025-09-21</v>
      </c>
      <c r="G4" s="8" t="str">
        <f t="shared" si="1"/>
        <v>Ok</v>
      </c>
      <c r="H4" s="8" t="str">
        <f>IF(B4 =VLOOKUP($A4,$A$2:$B$42,2,FALSE), "OK", "Mismatch")</f>
        <v>Mismatch</v>
      </c>
      <c r="I4" s="8" t="str">
        <f>IF(C4&gt;E4, "Inconsistent", "OK")</f>
        <v>OK</v>
      </c>
      <c r="J4" s="11"/>
    </row>
    <row r="5" spans="1:11" x14ac:dyDescent="0.35">
      <c r="A5" s="8" t="s">
        <v>6</v>
      </c>
      <c r="B5" s="8" t="s">
        <v>11</v>
      </c>
      <c r="C5" s="9">
        <v>45916</v>
      </c>
      <c r="D5" s="10">
        <v>1200000</v>
      </c>
      <c r="E5" s="9">
        <v>45917</v>
      </c>
      <c r="F5" s="8" t="str">
        <f t="shared" si="0"/>
        <v>C004-2025-09-16</v>
      </c>
      <c r="G5" s="8" t="str">
        <f t="shared" si="1"/>
        <v>Ok</v>
      </c>
      <c r="H5" s="8" t="str">
        <f t="shared" si="2"/>
        <v>OK</v>
      </c>
      <c r="I5" s="8" t="str">
        <f t="shared" si="3"/>
        <v>OK</v>
      </c>
      <c r="J5" s="11"/>
    </row>
    <row r="6" spans="1:11" x14ac:dyDescent="0.35">
      <c r="A6" s="8" t="s">
        <v>6</v>
      </c>
      <c r="B6" s="8" t="s">
        <v>11</v>
      </c>
      <c r="C6" s="9">
        <v>45924</v>
      </c>
      <c r="D6" s="10">
        <v>1200000</v>
      </c>
      <c r="E6" s="9">
        <v>45925</v>
      </c>
      <c r="F6" s="8" t="str">
        <f t="shared" si="0"/>
        <v>C004-2025-09-24</v>
      </c>
      <c r="G6" s="8" t="str">
        <f t="shared" si="1"/>
        <v>Ok</v>
      </c>
      <c r="H6" s="8" t="str">
        <f t="shared" si="2"/>
        <v>OK</v>
      </c>
      <c r="I6" s="8" t="str">
        <f t="shared" si="3"/>
        <v>OK</v>
      </c>
      <c r="J6" s="11"/>
    </row>
    <row r="7" spans="1:11" x14ac:dyDescent="0.35">
      <c r="A7" s="8" t="s">
        <v>7</v>
      </c>
      <c r="B7" s="8" t="s">
        <v>12</v>
      </c>
      <c r="C7" s="9" t="s">
        <v>19</v>
      </c>
      <c r="D7" s="10">
        <v>50000</v>
      </c>
      <c r="E7" s="9" t="s">
        <v>26</v>
      </c>
      <c r="F7" s="8" t="str">
        <f t="shared" si="0"/>
        <v>C005-2025-09-16</v>
      </c>
      <c r="G7" s="8" t="str">
        <f>IF(COUNTIF($F$2:$F$42,F7)&gt;1, "Duplicate", "Ok")</f>
        <v>Ok</v>
      </c>
      <c r="H7" s="8" t="str">
        <f t="shared" si="2"/>
        <v>OK</v>
      </c>
      <c r="I7" s="8" t="str">
        <f t="shared" si="3"/>
        <v>OK</v>
      </c>
      <c r="J7" s="11"/>
    </row>
    <row r="8" spans="1:11" x14ac:dyDescent="0.35">
      <c r="A8" s="8" t="s">
        <v>5</v>
      </c>
      <c r="B8" s="8" t="s">
        <v>10</v>
      </c>
      <c r="C8" s="9">
        <v>45930</v>
      </c>
      <c r="D8" s="7">
        <v>100000</v>
      </c>
      <c r="E8" s="9">
        <v>45930</v>
      </c>
      <c r="F8" s="8" t="str">
        <f t="shared" si="0"/>
        <v>C002-2025-09-30</v>
      </c>
      <c r="G8" s="8" t="str">
        <f t="shared" si="1"/>
        <v>Ok</v>
      </c>
      <c r="H8" s="8" t="str">
        <f t="shared" si="2"/>
        <v>OK</v>
      </c>
      <c r="I8" s="8" t="str">
        <f t="shared" si="3"/>
        <v>OK</v>
      </c>
      <c r="J8" s="11"/>
    </row>
    <row r="9" spans="1:11" x14ac:dyDescent="0.35">
      <c r="A9" s="8" t="s">
        <v>7</v>
      </c>
      <c r="B9" s="8" t="s">
        <v>12</v>
      </c>
      <c r="C9" s="9" t="s">
        <v>20</v>
      </c>
      <c r="D9" s="10">
        <v>100000</v>
      </c>
      <c r="E9" s="9" t="s">
        <v>21</v>
      </c>
      <c r="F9" s="8" t="str">
        <f t="shared" si="0"/>
        <v>C005-2025-09-07</v>
      </c>
      <c r="G9" s="8" t="str">
        <f t="shared" si="1"/>
        <v>Ok</v>
      </c>
      <c r="H9" s="8" t="str">
        <f t="shared" si="2"/>
        <v>OK</v>
      </c>
      <c r="I9" s="8" t="str">
        <f t="shared" si="3"/>
        <v>OK</v>
      </c>
      <c r="J9" s="11"/>
    </row>
    <row r="10" spans="1:11" x14ac:dyDescent="0.35">
      <c r="A10" s="8" t="s">
        <v>5</v>
      </c>
      <c r="B10" s="8" t="s">
        <v>10</v>
      </c>
      <c r="C10" s="9" t="s">
        <v>20</v>
      </c>
      <c r="D10" s="10">
        <v>700000</v>
      </c>
      <c r="E10" s="9" t="s">
        <v>30</v>
      </c>
      <c r="F10" s="8" t="str">
        <f t="shared" si="0"/>
        <v>C002-2025-09-07</v>
      </c>
      <c r="G10" s="8" t="str">
        <f t="shared" si="1"/>
        <v>Ok</v>
      </c>
      <c r="H10" s="8" t="str">
        <f t="shared" si="2"/>
        <v>OK</v>
      </c>
      <c r="I10" s="8" t="str">
        <f t="shared" si="3"/>
        <v>OK</v>
      </c>
      <c r="J10" s="11"/>
    </row>
    <row r="11" spans="1:11" x14ac:dyDescent="0.35">
      <c r="A11" s="8" t="s">
        <v>8</v>
      </c>
      <c r="B11" s="8" t="s">
        <v>13</v>
      </c>
      <c r="C11" s="9">
        <v>45920</v>
      </c>
      <c r="D11" s="10">
        <v>50000</v>
      </c>
      <c r="E11" s="9">
        <v>45921</v>
      </c>
      <c r="F11" s="8" t="str">
        <f t="shared" si="0"/>
        <v>C003-2025-09-20</v>
      </c>
      <c r="G11" s="8" t="str">
        <f t="shared" si="1"/>
        <v>Ok</v>
      </c>
      <c r="H11" s="8" t="str">
        <f t="shared" si="2"/>
        <v>OK</v>
      </c>
      <c r="I11" s="8" t="str">
        <f t="shared" si="3"/>
        <v>OK</v>
      </c>
      <c r="J11" s="11"/>
    </row>
    <row r="12" spans="1:11" x14ac:dyDescent="0.35">
      <c r="A12" s="8" t="s">
        <v>8</v>
      </c>
      <c r="B12" s="8" t="s">
        <v>13</v>
      </c>
      <c r="C12" s="9" t="s">
        <v>16</v>
      </c>
      <c r="D12" s="10">
        <v>100000</v>
      </c>
      <c r="E12" s="9" t="s">
        <v>31</v>
      </c>
      <c r="F12" s="8" t="str">
        <f t="shared" si="0"/>
        <v>C003-2025-09-03</v>
      </c>
      <c r="G12" s="8" t="str">
        <f t="shared" si="1"/>
        <v>Ok</v>
      </c>
      <c r="H12" s="8" t="str">
        <f t="shared" si="2"/>
        <v>OK</v>
      </c>
      <c r="I12" s="8" t="str">
        <f t="shared" si="3"/>
        <v>OK</v>
      </c>
      <c r="J12" s="11"/>
    </row>
    <row r="13" spans="1:11" x14ac:dyDescent="0.35">
      <c r="A13" s="8" t="s">
        <v>9</v>
      </c>
      <c r="B13" s="8" t="s">
        <v>14</v>
      </c>
      <c r="C13" s="9" t="s">
        <v>20</v>
      </c>
      <c r="D13" s="10">
        <v>100000</v>
      </c>
      <c r="E13" s="9" t="s">
        <v>20</v>
      </c>
      <c r="F13" s="8" t="str">
        <f t="shared" si="0"/>
        <v>C001-2025-09-07</v>
      </c>
      <c r="G13" s="8" t="str">
        <f t="shared" si="1"/>
        <v>Ok</v>
      </c>
      <c r="H13" s="8" t="str">
        <f t="shared" si="2"/>
        <v>OK</v>
      </c>
      <c r="I13" s="8" t="str">
        <f t="shared" si="3"/>
        <v>OK</v>
      </c>
      <c r="J13" s="11"/>
    </row>
    <row r="14" spans="1:11" x14ac:dyDescent="0.35">
      <c r="A14" s="8" t="s">
        <v>7</v>
      </c>
      <c r="B14" s="8" t="s">
        <v>12</v>
      </c>
      <c r="C14" s="9">
        <v>45905</v>
      </c>
      <c r="D14" s="10">
        <v>100000</v>
      </c>
      <c r="E14" s="9">
        <v>45905</v>
      </c>
      <c r="F14" s="8" t="str">
        <f t="shared" si="0"/>
        <v>C005-2025-09-05</v>
      </c>
      <c r="G14" s="8" t="str">
        <f t="shared" si="1"/>
        <v>Duplicate</v>
      </c>
      <c r="H14" s="8" t="str">
        <f t="shared" si="2"/>
        <v>OK</v>
      </c>
      <c r="I14" s="8" t="str">
        <f t="shared" si="3"/>
        <v>OK</v>
      </c>
      <c r="J14" s="11"/>
    </row>
    <row r="15" spans="1:11" x14ac:dyDescent="0.35">
      <c r="A15" s="8" t="s">
        <v>6</v>
      </c>
      <c r="B15" s="8" t="s">
        <v>11</v>
      </c>
      <c r="C15" s="9" t="s">
        <v>22</v>
      </c>
      <c r="D15" s="10">
        <v>100000</v>
      </c>
      <c r="E15" s="9" t="s">
        <v>18</v>
      </c>
      <c r="F15" s="8" t="str">
        <f t="shared" si="0"/>
        <v>C004-2025-09-04</v>
      </c>
      <c r="G15" s="8" t="str">
        <f t="shared" si="1"/>
        <v>Ok</v>
      </c>
      <c r="H15" s="8" t="str">
        <f t="shared" si="2"/>
        <v>OK</v>
      </c>
      <c r="I15" s="8" t="str">
        <f t="shared" si="3"/>
        <v>OK</v>
      </c>
      <c r="J15" s="11"/>
    </row>
    <row r="16" spans="1:11" x14ac:dyDescent="0.35">
      <c r="A16" s="8" t="s">
        <v>8</v>
      </c>
      <c r="B16" s="8" t="s">
        <v>13</v>
      </c>
      <c r="C16" s="9">
        <v>45902</v>
      </c>
      <c r="D16" s="10">
        <v>1000000</v>
      </c>
      <c r="E16" s="9">
        <v>45903</v>
      </c>
      <c r="F16" s="8" t="str">
        <f t="shared" si="0"/>
        <v>C003-2025-09-02</v>
      </c>
      <c r="G16" s="8" t="str">
        <f t="shared" si="1"/>
        <v>Ok</v>
      </c>
      <c r="H16" s="8" t="str">
        <f t="shared" si="2"/>
        <v>OK</v>
      </c>
      <c r="I16" s="8" t="str">
        <f t="shared" si="3"/>
        <v>OK</v>
      </c>
      <c r="J16" s="11"/>
    </row>
    <row r="17" spans="1:10" x14ac:dyDescent="0.35">
      <c r="A17" s="8" t="s">
        <v>9</v>
      </c>
      <c r="B17" s="8" t="s">
        <v>14</v>
      </c>
      <c r="C17" s="9" t="s">
        <v>23</v>
      </c>
      <c r="D17" s="10">
        <v>70000</v>
      </c>
      <c r="E17" s="9" t="s">
        <v>17</v>
      </c>
      <c r="F17" s="8" t="str">
        <f t="shared" si="0"/>
        <v>C001-2025-09-06</v>
      </c>
      <c r="G17" s="8" t="str">
        <f t="shared" si="1"/>
        <v>Ok</v>
      </c>
      <c r="H17" s="8" t="str">
        <f t="shared" si="2"/>
        <v>OK</v>
      </c>
      <c r="I17" s="8" t="str">
        <f t="shared" si="3"/>
        <v>OK</v>
      </c>
      <c r="J17" s="11"/>
    </row>
    <row r="18" spans="1:10" x14ac:dyDescent="0.35">
      <c r="A18" s="8" t="s">
        <v>8</v>
      </c>
      <c r="B18" s="8" t="s">
        <v>13</v>
      </c>
      <c r="C18" s="9" t="s">
        <v>24</v>
      </c>
      <c r="D18" s="10">
        <v>700000</v>
      </c>
      <c r="E18" s="9" t="s">
        <v>25</v>
      </c>
      <c r="F18" s="8" t="str">
        <f t="shared" si="0"/>
        <v>C003-2025-09-09</v>
      </c>
      <c r="G18" s="8" t="str">
        <f t="shared" si="1"/>
        <v>Ok</v>
      </c>
      <c r="H18" s="8" t="str">
        <f t="shared" si="2"/>
        <v>OK</v>
      </c>
      <c r="I18" s="8" t="str">
        <f t="shared" si="3"/>
        <v>OK</v>
      </c>
      <c r="J18" s="11"/>
    </row>
    <row r="19" spans="1:10" x14ac:dyDescent="0.35">
      <c r="A19" s="8" t="s">
        <v>8</v>
      </c>
      <c r="B19" s="8" t="s">
        <v>13</v>
      </c>
      <c r="C19" s="12" t="s">
        <v>25</v>
      </c>
      <c r="D19" s="7">
        <v>10000</v>
      </c>
      <c r="E19" s="9"/>
      <c r="F19" s="8" t="str">
        <f t="shared" si="0"/>
        <v>C003-2025-09-18</v>
      </c>
      <c r="G19" s="8" t="str">
        <f t="shared" si="1"/>
        <v>Ok</v>
      </c>
      <c r="H19" s="8" t="str">
        <f t="shared" si="2"/>
        <v>OK</v>
      </c>
      <c r="I19" s="8" t="str">
        <f>IF(C19&gt;E19, "Inconsistent", "OK")</f>
        <v>Inconsistent</v>
      </c>
      <c r="J19" s="11"/>
    </row>
    <row r="20" spans="1:10" x14ac:dyDescent="0.35">
      <c r="A20" s="8" t="s">
        <v>9</v>
      </c>
      <c r="B20" s="8" t="s">
        <v>14</v>
      </c>
      <c r="C20" s="9">
        <v>45904</v>
      </c>
      <c r="D20" s="10">
        <v>1000000</v>
      </c>
      <c r="E20" s="9">
        <v>45905</v>
      </c>
      <c r="F20" s="8" t="str">
        <f t="shared" si="0"/>
        <v>C001-2025-09-04</v>
      </c>
      <c r="G20" s="8" t="str">
        <f t="shared" si="1"/>
        <v>Ok</v>
      </c>
      <c r="H20" s="8" t="str">
        <f t="shared" si="2"/>
        <v>OK</v>
      </c>
      <c r="I20" s="8" t="str">
        <f t="shared" si="3"/>
        <v>OK</v>
      </c>
      <c r="J20" s="11"/>
    </row>
    <row r="21" spans="1:10" x14ac:dyDescent="0.35">
      <c r="A21" s="8" t="s">
        <v>8</v>
      </c>
      <c r="B21" s="8" t="s">
        <v>13</v>
      </c>
      <c r="C21" s="12">
        <v>45917</v>
      </c>
      <c r="D21" s="7">
        <v>1000000</v>
      </c>
      <c r="E21" s="9">
        <v>45925</v>
      </c>
      <c r="F21" s="8" t="str">
        <f t="shared" si="0"/>
        <v>C003-2025-09-17</v>
      </c>
      <c r="G21" s="8" t="str">
        <f t="shared" si="1"/>
        <v>Ok</v>
      </c>
      <c r="H21" s="8" t="str">
        <f t="shared" si="2"/>
        <v>OK</v>
      </c>
      <c r="I21" s="8" t="str">
        <f t="shared" si="3"/>
        <v>OK</v>
      </c>
      <c r="J21" s="11"/>
    </row>
    <row r="22" spans="1:10" x14ac:dyDescent="0.35">
      <c r="A22" s="8" t="s">
        <v>7</v>
      </c>
      <c r="B22" s="8" t="s">
        <v>12</v>
      </c>
      <c r="C22" s="9">
        <v>45905</v>
      </c>
      <c r="D22" s="10">
        <v>500000</v>
      </c>
      <c r="E22" s="9" t="s">
        <v>32</v>
      </c>
      <c r="F22" s="8" t="str">
        <f t="shared" si="0"/>
        <v>C005-2025-09-05</v>
      </c>
      <c r="G22" s="8" t="str">
        <f t="shared" si="1"/>
        <v>Duplicate</v>
      </c>
      <c r="H22" s="8" t="str">
        <f t="shared" si="2"/>
        <v>OK</v>
      </c>
      <c r="I22" s="8" t="str">
        <f t="shared" si="3"/>
        <v>OK</v>
      </c>
      <c r="J22" s="11"/>
    </row>
    <row r="23" spans="1:10" x14ac:dyDescent="0.35">
      <c r="A23" s="8" t="s">
        <v>7</v>
      </c>
      <c r="B23" s="8" t="s">
        <v>12</v>
      </c>
      <c r="C23" s="12" t="s">
        <v>27</v>
      </c>
      <c r="D23" s="7">
        <v>500000</v>
      </c>
      <c r="E23" s="9"/>
      <c r="F23" s="8" t="str">
        <f t="shared" si="0"/>
        <v>C005-2025-09-24</v>
      </c>
      <c r="G23" s="8" t="str">
        <f t="shared" si="1"/>
        <v>Ok</v>
      </c>
      <c r="H23" s="8" t="str">
        <f t="shared" si="2"/>
        <v>OK</v>
      </c>
      <c r="I23" s="8" t="str">
        <f t="shared" si="3"/>
        <v>Inconsistent</v>
      </c>
      <c r="J23" s="11"/>
    </row>
    <row r="24" spans="1:10" x14ac:dyDescent="0.35">
      <c r="A24" s="8" t="s">
        <v>7</v>
      </c>
      <c r="B24" s="8" t="s">
        <v>12</v>
      </c>
      <c r="C24" s="12">
        <v>45903</v>
      </c>
      <c r="D24" s="7">
        <v>1000000</v>
      </c>
      <c r="E24" s="9">
        <v>45903</v>
      </c>
      <c r="F24" s="8" t="str">
        <f t="shared" si="0"/>
        <v>C005-2025-09-03</v>
      </c>
      <c r="G24" s="8" t="str">
        <f t="shared" si="1"/>
        <v>Ok</v>
      </c>
      <c r="H24" s="8" t="str">
        <f t="shared" si="2"/>
        <v>OK</v>
      </c>
      <c r="I24" s="8" t="str">
        <f t="shared" si="3"/>
        <v>OK</v>
      </c>
      <c r="J24" s="11"/>
    </row>
    <row r="25" spans="1:10" x14ac:dyDescent="0.35">
      <c r="A25" s="8" t="s">
        <v>5</v>
      </c>
      <c r="B25" s="8" t="s">
        <v>10</v>
      </c>
      <c r="C25" s="12">
        <v>45923</v>
      </c>
      <c r="D25" s="7">
        <v>1200000</v>
      </c>
      <c r="E25" s="9">
        <v>45930</v>
      </c>
      <c r="F25" s="8" t="str">
        <f t="shared" si="0"/>
        <v>C002-2025-09-23</v>
      </c>
      <c r="G25" s="8" t="str">
        <f t="shared" si="1"/>
        <v>Ok</v>
      </c>
      <c r="H25" s="8" t="str">
        <f t="shared" si="2"/>
        <v>OK</v>
      </c>
      <c r="I25" s="8" t="str">
        <f t="shared" si="3"/>
        <v>OK</v>
      </c>
      <c r="J25" s="11"/>
    </row>
    <row r="26" spans="1:10" x14ac:dyDescent="0.35">
      <c r="A26" s="8" t="s">
        <v>8</v>
      </c>
      <c r="B26" s="8" t="s">
        <v>13</v>
      </c>
      <c r="C26" s="12">
        <v>45905</v>
      </c>
      <c r="D26" s="7">
        <v>700000</v>
      </c>
      <c r="E26" s="9">
        <v>45905</v>
      </c>
      <c r="F26" s="8" t="str">
        <f t="shared" si="0"/>
        <v>C003-2025-09-05</v>
      </c>
      <c r="G26" s="8" t="str">
        <f t="shared" si="1"/>
        <v>Ok</v>
      </c>
      <c r="H26" s="8" t="str">
        <f t="shared" si="2"/>
        <v>OK</v>
      </c>
      <c r="I26" s="8" t="str">
        <f t="shared" si="3"/>
        <v>OK</v>
      </c>
      <c r="J26" s="11"/>
    </row>
    <row r="27" spans="1:10" x14ac:dyDescent="0.35">
      <c r="A27" s="8" t="s">
        <v>7</v>
      </c>
      <c r="B27" s="8" t="s">
        <v>12</v>
      </c>
      <c r="C27" s="9">
        <v>45911</v>
      </c>
      <c r="D27" s="10">
        <v>1200000</v>
      </c>
      <c r="E27" s="9">
        <v>45921</v>
      </c>
      <c r="F27" s="8" t="str">
        <f t="shared" si="0"/>
        <v>C005-2025-09-11</v>
      </c>
      <c r="G27" s="8" t="str">
        <f>IF(COUNTIF($F$2:$F$42,F27)&gt;1, "Duplicate", "Ok")</f>
        <v>Ok</v>
      </c>
      <c r="H27" s="8" t="str">
        <f t="shared" si="2"/>
        <v>OK</v>
      </c>
      <c r="I27" s="8" t="str">
        <f t="shared" si="3"/>
        <v>OK</v>
      </c>
      <c r="J27" s="11"/>
    </row>
    <row r="28" spans="1:10" x14ac:dyDescent="0.35">
      <c r="A28" s="8" t="s">
        <v>5</v>
      </c>
      <c r="B28" s="8" t="s">
        <v>10</v>
      </c>
      <c r="C28" s="12">
        <v>45913</v>
      </c>
      <c r="D28" s="7">
        <v>120000</v>
      </c>
      <c r="E28" s="9">
        <v>45913</v>
      </c>
      <c r="F28" s="8" t="str">
        <f t="shared" si="0"/>
        <v>C002-2025-09-13</v>
      </c>
      <c r="G28" s="8" t="str">
        <f t="shared" si="1"/>
        <v>Duplicate</v>
      </c>
      <c r="H28" s="8" t="str">
        <f t="shared" si="2"/>
        <v>OK</v>
      </c>
      <c r="I28" s="8" t="str">
        <f t="shared" si="3"/>
        <v>OK</v>
      </c>
      <c r="J28" s="11"/>
    </row>
    <row r="29" spans="1:10" x14ac:dyDescent="0.35">
      <c r="A29" s="8" t="s">
        <v>9</v>
      </c>
      <c r="B29" s="8" t="s">
        <v>14</v>
      </c>
      <c r="C29" s="12">
        <v>45917</v>
      </c>
      <c r="D29" s="7">
        <v>1200000</v>
      </c>
      <c r="E29" s="9">
        <v>45918</v>
      </c>
      <c r="F29" s="8" t="str">
        <f t="shared" si="0"/>
        <v>C001-2025-09-17</v>
      </c>
      <c r="G29" s="8" t="str">
        <f t="shared" si="1"/>
        <v>Ok</v>
      </c>
      <c r="H29" s="8" t="str">
        <f t="shared" si="2"/>
        <v>OK</v>
      </c>
      <c r="I29" s="8" t="str">
        <f t="shared" si="3"/>
        <v>OK</v>
      </c>
      <c r="J29" s="11"/>
    </row>
    <row r="30" spans="1:10" x14ac:dyDescent="0.35">
      <c r="A30" s="8" t="s">
        <v>9</v>
      </c>
      <c r="B30" s="8" t="s">
        <v>14</v>
      </c>
      <c r="C30" s="12">
        <v>45915</v>
      </c>
      <c r="D30" s="7">
        <v>100000</v>
      </c>
      <c r="E30" s="9">
        <v>45916</v>
      </c>
      <c r="F30" s="8" t="str">
        <f t="shared" si="0"/>
        <v>C001-2025-09-15</v>
      </c>
      <c r="G30" s="8" t="str">
        <f t="shared" si="1"/>
        <v>Ok</v>
      </c>
      <c r="H30" s="8" t="str">
        <f t="shared" si="2"/>
        <v>OK</v>
      </c>
      <c r="I30" s="8" t="str">
        <f t="shared" si="3"/>
        <v>OK</v>
      </c>
      <c r="J30" s="11"/>
    </row>
    <row r="31" spans="1:10" x14ac:dyDescent="0.35">
      <c r="A31" s="8" t="s">
        <v>8</v>
      </c>
      <c r="B31" s="8" t="s">
        <v>13</v>
      </c>
      <c r="C31" s="12">
        <v>45913</v>
      </c>
      <c r="D31" s="7">
        <v>1000000</v>
      </c>
      <c r="E31" s="9">
        <v>45914</v>
      </c>
      <c r="F31" s="8" t="str">
        <f t="shared" si="0"/>
        <v>C003-2025-09-13</v>
      </c>
      <c r="G31" s="8" t="str">
        <f t="shared" si="1"/>
        <v>Ok</v>
      </c>
      <c r="H31" s="8" t="str">
        <f t="shared" si="2"/>
        <v>OK</v>
      </c>
      <c r="I31" s="8" t="str">
        <f t="shared" si="3"/>
        <v>OK</v>
      </c>
      <c r="J31" s="11"/>
    </row>
    <row r="32" spans="1:10" x14ac:dyDescent="0.35">
      <c r="A32" s="8" t="s">
        <v>8</v>
      </c>
      <c r="B32" s="8" t="s">
        <v>12</v>
      </c>
      <c r="C32" s="12">
        <v>45923</v>
      </c>
      <c r="D32" s="7">
        <v>1000000</v>
      </c>
      <c r="E32" s="9">
        <v>45925</v>
      </c>
      <c r="F32" s="8" t="str">
        <f t="shared" si="0"/>
        <v>C003-2025-09-23</v>
      </c>
      <c r="G32" s="8" t="str">
        <f t="shared" si="1"/>
        <v>Ok</v>
      </c>
      <c r="H32" s="8" t="str">
        <f>IF(B32 =VLOOKUP($A32,$A$2:$B$42,2,FALSE), "OK", "Mismatch")</f>
        <v>Mismatch</v>
      </c>
      <c r="I32" s="8" t="str">
        <f t="shared" si="3"/>
        <v>OK</v>
      </c>
      <c r="J32" s="11"/>
    </row>
    <row r="33" spans="1:10" x14ac:dyDescent="0.35">
      <c r="A33" s="8" t="s">
        <v>7</v>
      </c>
      <c r="B33" s="8" t="s">
        <v>12</v>
      </c>
      <c r="C33" s="12">
        <v>45925</v>
      </c>
      <c r="D33" s="7">
        <v>500000</v>
      </c>
      <c r="E33" s="9">
        <v>45926</v>
      </c>
      <c r="F33" s="8" t="str">
        <f t="shared" si="0"/>
        <v>C005-2025-09-25</v>
      </c>
      <c r="G33" s="8" t="str">
        <f t="shared" si="1"/>
        <v>Ok</v>
      </c>
      <c r="H33" s="8" t="str">
        <f t="shared" si="2"/>
        <v>OK</v>
      </c>
      <c r="I33" s="8" t="str">
        <f t="shared" si="3"/>
        <v>OK</v>
      </c>
      <c r="J33" s="11"/>
    </row>
    <row r="34" spans="1:10" x14ac:dyDescent="0.35">
      <c r="A34" s="8" t="s">
        <v>7</v>
      </c>
      <c r="B34" s="8" t="s">
        <v>12</v>
      </c>
      <c r="C34" s="9">
        <v>45923</v>
      </c>
      <c r="D34" s="10">
        <v>70000</v>
      </c>
      <c r="E34" s="9"/>
      <c r="F34" s="8" t="str">
        <f t="shared" si="0"/>
        <v>C005-2025-09-23</v>
      </c>
      <c r="G34" s="8" t="str">
        <f t="shared" si="1"/>
        <v>Ok</v>
      </c>
      <c r="H34" s="8" t="str">
        <f t="shared" si="2"/>
        <v>OK</v>
      </c>
      <c r="I34" s="8" t="str">
        <f>IF(C34&gt;E34, "Inconsistent", "OK")</f>
        <v>Inconsistent</v>
      </c>
      <c r="J34" s="11"/>
    </row>
    <row r="35" spans="1:10" x14ac:dyDescent="0.35">
      <c r="A35" s="8" t="s">
        <v>7</v>
      </c>
      <c r="B35" s="8" t="s">
        <v>12</v>
      </c>
      <c r="C35" s="12">
        <v>45928</v>
      </c>
      <c r="D35" s="7">
        <v>1000000</v>
      </c>
      <c r="E35" s="9">
        <v>45928</v>
      </c>
      <c r="F35" s="8" t="str">
        <f t="shared" si="0"/>
        <v>C005-2025-09-28</v>
      </c>
      <c r="G35" s="8" t="str">
        <f>IF(COUNTIF($F$2:$F$42,F35)&gt;1, "Duplicate", "Ok")</f>
        <v>Ok</v>
      </c>
      <c r="H35" s="8" t="str">
        <f t="shared" si="2"/>
        <v>OK</v>
      </c>
      <c r="I35" s="8" t="str">
        <f t="shared" si="3"/>
        <v>OK</v>
      </c>
      <c r="J35" s="11"/>
    </row>
    <row r="36" spans="1:10" x14ac:dyDescent="0.35">
      <c r="A36" s="8" t="s">
        <v>5</v>
      </c>
      <c r="B36" s="8" t="s">
        <v>10</v>
      </c>
      <c r="C36" s="12">
        <v>45913</v>
      </c>
      <c r="D36" s="7">
        <v>1200000</v>
      </c>
      <c r="E36" s="9" t="s">
        <v>20</v>
      </c>
      <c r="F36" s="8" t="str">
        <f t="shared" si="0"/>
        <v>C002-2025-09-13</v>
      </c>
      <c r="G36" s="8" t="str">
        <f t="shared" si="1"/>
        <v>Duplicate</v>
      </c>
      <c r="H36" s="8" t="str">
        <f t="shared" si="2"/>
        <v>OK</v>
      </c>
      <c r="I36" s="8" t="str">
        <f t="shared" si="3"/>
        <v>OK</v>
      </c>
      <c r="J36" s="11"/>
    </row>
    <row r="37" spans="1:10" x14ac:dyDescent="0.35">
      <c r="A37" s="8" t="s">
        <v>8</v>
      </c>
      <c r="B37" s="8" t="s">
        <v>13</v>
      </c>
      <c r="C37" s="12" t="s">
        <v>22</v>
      </c>
      <c r="D37" s="7">
        <v>700000</v>
      </c>
      <c r="E37" s="9" t="s">
        <v>25</v>
      </c>
      <c r="F37" s="8" t="str">
        <f t="shared" si="0"/>
        <v>C003-2025-09-04</v>
      </c>
      <c r="G37" s="8" t="str">
        <f t="shared" si="1"/>
        <v>Ok</v>
      </c>
      <c r="H37" s="8" t="str">
        <f t="shared" si="2"/>
        <v>OK</v>
      </c>
      <c r="I37" s="8" t="str">
        <f t="shared" si="3"/>
        <v>OK</v>
      </c>
      <c r="J37" s="11"/>
    </row>
    <row r="38" spans="1:10" x14ac:dyDescent="0.35">
      <c r="A38" s="8" t="s">
        <v>7</v>
      </c>
      <c r="B38" s="8" t="s">
        <v>12</v>
      </c>
      <c r="C38" s="9" t="s">
        <v>28</v>
      </c>
      <c r="D38" s="10">
        <v>1200000</v>
      </c>
      <c r="E38" s="9" t="s">
        <v>15</v>
      </c>
      <c r="F38" s="8" t="str">
        <f t="shared" si="0"/>
        <v>C005-2025-09-13</v>
      </c>
      <c r="G38" s="8" t="str">
        <f t="shared" si="1"/>
        <v>Ok</v>
      </c>
      <c r="H38" s="8" t="str">
        <f t="shared" si="2"/>
        <v>OK</v>
      </c>
      <c r="I38" s="8" t="str">
        <f t="shared" si="3"/>
        <v>OK</v>
      </c>
      <c r="J38" s="11"/>
    </row>
    <row r="39" spans="1:10" x14ac:dyDescent="0.35">
      <c r="A39" s="8" t="s">
        <v>5</v>
      </c>
      <c r="B39" s="8" t="s">
        <v>10</v>
      </c>
      <c r="C39" s="12" t="s">
        <v>24</v>
      </c>
      <c r="D39" s="7">
        <v>120000</v>
      </c>
      <c r="E39" s="9" t="s">
        <v>28</v>
      </c>
      <c r="F39" s="8" t="str">
        <f t="shared" si="0"/>
        <v>C002-2025-09-09</v>
      </c>
      <c r="G39" s="8" t="str">
        <f t="shared" si="1"/>
        <v>Ok</v>
      </c>
      <c r="H39" s="8" t="str">
        <f t="shared" si="2"/>
        <v>OK</v>
      </c>
      <c r="I39" s="8" t="str">
        <f t="shared" si="3"/>
        <v>OK</v>
      </c>
      <c r="J39" s="11"/>
    </row>
    <row r="40" spans="1:10" x14ac:dyDescent="0.35">
      <c r="A40" s="8" t="s">
        <v>9</v>
      </c>
      <c r="B40" s="8" t="s">
        <v>13</v>
      </c>
      <c r="C40" s="12">
        <v>45916</v>
      </c>
      <c r="D40" s="7">
        <v>1200000</v>
      </c>
      <c r="E40" s="9">
        <v>45918</v>
      </c>
      <c r="F40" s="8" t="str">
        <f t="shared" si="0"/>
        <v>C001-2025-09-16</v>
      </c>
      <c r="G40" s="8" t="str">
        <f t="shared" si="1"/>
        <v>Ok</v>
      </c>
      <c r="H40" s="8" t="str">
        <f t="shared" si="2"/>
        <v>Mismatch</v>
      </c>
      <c r="I40" s="8" t="str">
        <f t="shared" si="3"/>
        <v>OK</v>
      </c>
      <c r="J40" s="11"/>
    </row>
    <row r="41" spans="1:10" x14ac:dyDescent="0.35">
      <c r="A41" s="8" t="s">
        <v>9</v>
      </c>
      <c r="B41" s="8" t="s">
        <v>14</v>
      </c>
      <c r="C41" s="12" t="s">
        <v>29</v>
      </c>
      <c r="D41" s="7">
        <v>100000</v>
      </c>
      <c r="E41" s="9" t="s">
        <v>33</v>
      </c>
      <c r="F41" s="8" t="str">
        <f t="shared" si="0"/>
        <v>C001-2025-09-05</v>
      </c>
      <c r="G41" s="8" t="str">
        <f t="shared" si="1"/>
        <v>Ok</v>
      </c>
      <c r="H41" s="8" t="str">
        <f t="shared" si="2"/>
        <v>OK</v>
      </c>
      <c r="I41" s="8" t="str">
        <f t="shared" si="3"/>
        <v>OK</v>
      </c>
      <c r="J41" s="11"/>
    </row>
    <row r="42" spans="1:10" x14ac:dyDescent="0.35">
      <c r="A42" s="8" t="s">
        <v>8</v>
      </c>
      <c r="B42" s="8" t="s">
        <v>13</v>
      </c>
      <c r="C42" s="12" t="s">
        <v>18</v>
      </c>
      <c r="D42" s="7">
        <v>1000000</v>
      </c>
      <c r="E42" s="9" t="s">
        <v>28</v>
      </c>
      <c r="F42" s="8" t="str">
        <f t="shared" si="0"/>
        <v>C003-2025-09-26</v>
      </c>
      <c r="G42" s="8" t="str">
        <f t="shared" si="1"/>
        <v>Ok</v>
      </c>
      <c r="H42" s="8" t="str">
        <f t="shared" si="2"/>
        <v>OK</v>
      </c>
      <c r="I42" s="8" t="str">
        <f t="shared" si="3"/>
        <v>Inconsistent</v>
      </c>
      <c r="J42" s="11"/>
    </row>
  </sheetData>
  <autoFilter ref="A1:J42" xr:uid="{00000000-0001-0000-0000-000000000000}"/>
  <conditionalFormatting sqref="H1:K1 G1:G42">
    <cfRule type="containsText" dxfId="5" priority="3" operator="containsText" text="Duplicate">
      <formula>NOT(ISERROR(SEARCH("Duplicate",G1)))</formula>
    </cfRule>
    <cfRule type="expression" dxfId="4" priority="4">
      <formula>"""Duplicate"""</formula>
    </cfRule>
  </conditionalFormatting>
  <conditionalFormatting sqref="D2:D42">
    <cfRule type="cellIs" dxfId="3" priority="5" operator="greaterThan">
      <formula>2000000</formula>
    </cfRule>
    <cfRule type="cellIs" dxfId="2" priority="6" operator="lessThan">
      <formula>100000</formula>
    </cfRule>
  </conditionalFormatting>
  <conditionalFormatting sqref="H1:H1048576 I1:K1">
    <cfRule type="cellIs" dxfId="1" priority="2" operator="equal">
      <formula>"Mismatch"</formula>
    </cfRule>
  </conditionalFormatting>
  <conditionalFormatting sqref="I1:J1048576">
    <cfRule type="cellIs" dxfId="0" priority="1" operator="equal">
      <formula>"Inconsistent"</formula>
    </cfRule>
  </conditionalFormatting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2AA2-C577-47C9-BB26-FA5CD011794B}">
  <dimension ref="A1:E42"/>
  <sheetViews>
    <sheetView workbookViewId="0">
      <selection activeCell="C41" sqref="C41"/>
    </sheetView>
  </sheetViews>
  <sheetFormatPr defaultRowHeight="14.5" x14ac:dyDescent="0.35"/>
  <cols>
    <col min="1" max="1" width="10.7265625" style="2" bestFit="1" customWidth="1"/>
    <col min="2" max="2" width="14.1796875" style="2" bestFit="1" customWidth="1"/>
    <col min="3" max="3" width="10.6328125" style="1" bestFit="1" customWidth="1"/>
    <col min="4" max="4" width="11.26953125" style="2" bestFit="1" customWidth="1"/>
    <col min="5" max="5" width="12" style="1" bestFit="1" customWidth="1"/>
    <col min="6" max="16384" width="8.7265625" style="2"/>
  </cols>
  <sheetData>
    <row r="1" spans="1:5" x14ac:dyDescent="0.35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spans="1:5" x14ac:dyDescent="0.35">
      <c r="A2" s="2" t="s">
        <v>9</v>
      </c>
      <c r="B2" s="2" t="s">
        <v>14</v>
      </c>
      <c r="C2" s="1" t="s">
        <v>20</v>
      </c>
      <c r="D2" s="2">
        <v>100000</v>
      </c>
      <c r="E2" s="1" t="s">
        <v>20</v>
      </c>
    </row>
    <row r="3" spans="1:5" x14ac:dyDescent="0.35">
      <c r="A3" s="2" t="s">
        <v>9</v>
      </c>
      <c r="B3" s="2" t="s">
        <v>14</v>
      </c>
      <c r="C3" s="1" t="s">
        <v>23</v>
      </c>
      <c r="D3" s="2">
        <v>700000</v>
      </c>
      <c r="E3" s="1" t="s">
        <v>17</v>
      </c>
    </row>
    <row r="4" spans="1:5" x14ac:dyDescent="0.35">
      <c r="A4" s="2" t="s">
        <v>9</v>
      </c>
      <c r="B4" s="2" t="s">
        <v>14</v>
      </c>
      <c r="C4" s="1">
        <v>45904</v>
      </c>
      <c r="D4" s="2">
        <v>1000000</v>
      </c>
      <c r="E4" s="1">
        <v>45905</v>
      </c>
    </row>
    <row r="5" spans="1:5" x14ac:dyDescent="0.35">
      <c r="A5" s="2" t="s">
        <v>9</v>
      </c>
      <c r="B5" s="2" t="s">
        <v>14</v>
      </c>
      <c r="C5" s="1">
        <v>45917</v>
      </c>
      <c r="D5" s="2">
        <v>1200000</v>
      </c>
      <c r="E5" s="1">
        <v>45918</v>
      </c>
    </row>
    <row r="6" spans="1:5" x14ac:dyDescent="0.35">
      <c r="A6" s="2" t="s">
        <v>9</v>
      </c>
      <c r="B6" s="2" t="s">
        <v>14</v>
      </c>
      <c r="C6" s="1">
        <v>45915</v>
      </c>
      <c r="D6" s="2">
        <v>100000</v>
      </c>
      <c r="E6" s="1">
        <v>45916</v>
      </c>
    </row>
    <row r="7" spans="1:5" x14ac:dyDescent="0.35">
      <c r="A7" s="2" t="s">
        <v>9</v>
      </c>
      <c r="B7" s="2" t="s">
        <v>14</v>
      </c>
      <c r="C7" s="1">
        <v>45916</v>
      </c>
      <c r="D7" s="2">
        <v>1200000</v>
      </c>
      <c r="E7" s="1">
        <v>45918</v>
      </c>
    </row>
    <row r="8" spans="1:5" x14ac:dyDescent="0.35">
      <c r="A8" s="2" t="s">
        <v>9</v>
      </c>
      <c r="B8" s="2" t="s">
        <v>14</v>
      </c>
      <c r="C8" s="1" t="s">
        <v>29</v>
      </c>
      <c r="D8" s="2">
        <v>100000</v>
      </c>
      <c r="E8" s="1" t="s">
        <v>33</v>
      </c>
    </row>
    <row r="9" spans="1:5" x14ac:dyDescent="0.35">
      <c r="A9" s="2" t="s">
        <v>5</v>
      </c>
      <c r="B9" s="2" t="s">
        <v>10</v>
      </c>
      <c r="C9" s="1" t="s">
        <v>15</v>
      </c>
      <c r="D9" s="2">
        <v>500000</v>
      </c>
      <c r="E9" s="1" t="s">
        <v>30</v>
      </c>
    </row>
    <row r="10" spans="1:5" x14ac:dyDescent="0.35">
      <c r="A10" s="2" t="s">
        <v>5</v>
      </c>
      <c r="B10" s="2" t="s">
        <v>10</v>
      </c>
      <c r="C10" s="1" t="s">
        <v>16</v>
      </c>
      <c r="D10" s="2">
        <v>100000</v>
      </c>
      <c r="E10" s="1" t="s">
        <v>22</v>
      </c>
    </row>
    <row r="11" spans="1:5" x14ac:dyDescent="0.35">
      <c r="A11" s="2" t="s">
        <v>5</v>
      </c>
      <c r="B11" s="2" t="s">
        <v>10</v>
      </c>
      <c r="C11" s="1">
        <v>45921</v>
      </c>
      <c r="D11" s="2">
        <v>1200000</v>
      </c>
      <c r="E11" s="1">
        <v>45922</v>
      </c>
    </row>
    <row r="12" spans="1:5" x14ac:dyDescent="0.35">
      <c r="A12" s="2" t="s">
        <v>5</v>
      </c>
      <c r="B12" s="2" t="s">
        <v>10</v>
      </c>
      <c r="C12" s="1">
        <v>45930</v>
      </c>
      <c r="D12" s="2">
        <v>100000</v>
      </c>
      <c r="E12" s="1">
        <v>45930</v>
      </c>
    </row>
    <row r="13" spans="1:5" x14ac:dyDescent="0.35">
      <c r="A13" s="2" t="s">
        <v>5</v>
      </c>
      <c r="B13" s="2" t="s">
        <v>10</v>
      </c>
      <c r="C13" s="1" t="s">
        <v>20</v>
      </c>
      <c r="D13" s="2">
        <v>700000</v>
      </c>
      <c r="E13" s="1" t="s">
        <v>30</v>
      </c>
    </row>
    <row r="14" spans="1:5" x14ac:dyDescent="0.35">
      <c r="A14" s="2" t="s">
        <v>5</v>
      </c>
      <c r="B14" s="2" t="s">
        <v>10</v>
      </c>
      <c r="C14" s="1">
        <v>45923</v>
      </c>
      <c r="D14" s="2">
        <v>1200000</v>
      </c>
      <c r="E14" s="1">
        <v>45930</v>
      </c>
    </row>
    <row r="15" spans="1:5" x14ac:dyDescent="0.35">
      <c r="A15" s="2" t="s">
        <v>5</v>
      </c>
      <c r="B15" s="2" t="s">
        <v>10</v>
      </c>
      <c r="C15" s="1">
        <v>45913</v>
      </c>
      <c r="D15" s="2">
        <v>120000</v>
      </c>
      <c r="E15" s="1">
        <v>45913</v>
      </c>
    </row>
    <row r="16" spans="1:5" x14ac:dyDescent="0.35">
      <c r="A16" s="2" t="s">
        <v>5</v>
      </c>
      <c r="B16" s="2" t="s">
        <v>10</v>
      </c>
      <c r="C16" s="1">
        <v>45913</v>
      </c>
      <c r="D16" s="2">
        <v>1200000</v>
      </c>
      <c r="E16" s="1" t="s">
        <v>20</v>
      </c>
    </row>
    <row r="17" spans="1:5" x14ac:dyDescent="0.35">
      <c r="A17" s="2" t="s">
        <v>5</v>
      </c>
      <c r="B17" s="2" t="s">
        <v>10</v>
      </c>
      <c r="C17" s="1" t="s">
        <v>24</v>
      </c>
      <c r="D17" s="2">
        <v>120000</v>
      </c>
      <c r="E17" s="1" t="s">
        <v>28</v>
      </c>
    </row>
    <row r="18" spans="1:5" x14ac:dyDescent="0.35">
      <c r="A18" s="2" t="s">
        <v>8</v>
      </c>
      <c r="B18" s="2" t="s">
        <v>13</v>
      </c>
      <c r="C18" s="1">
        <v>45920</v>
      </c>
      <c r="D18" s="2">
        <v>500000</v>
      </c>
      <c r="E18" s="1">
        <v>45921</v>
      </c>
    </row>
    <row r="19" spans="1:5" x14ac:dyDescent="0.35">
      <c r="A19" s="2" t="s">
        <v>8</v>
      </c>
      <c r="B19" s="2" t="s">
        <v>13</v>
      </c>
      <c r="C19" s="1" t="s">
        <v>16</v>
      </c>
      <c r="D19" s="2">
        <v>100000</v>
      </c>
      <c r="E19" s="1" t="s">
        <v>31</v>
      </c>
    </row>
    <row r="20" spans="1:5" x14ac:dyDescent="0.35">
      <c r="A20" s="2" t="s">
        <v>8</v>
      </c>
      <c r="B20" s="2" t="s">
        <v>13</v>
      </c>
      <c r="C20" s="1">
        <v>45902</v>
      </c>
      <c r="D20" s="2">
        <v>1000000</v>
      </c>
      <c r="E20" s="1">
        <v>45903</v>
      </c>
    </row>
    <row r="21" spans="1:5" x14ac:dyDescent="0.35">
      <c r="A21" s="2" t="s">
        <v>8</v>
      </c>
      <c r="B21" s="2" t="s">
        <v>13</v>
      </c>
      <c r="C21" s="1" t="s">
        <v>24</v>
      </c>
      <c r="D21" s="2">
        <v>700000</v>
      </c>
      <c r="E21" s="1" t="s">
        <v>25</v>
      </c>
    </row>
    <row r="22" spans="1:5" x14ac:dyDescent="0.35">
      <c r="A22" s="2" t="s">
        <v>8</v>
      </c>
      <c r="B22" s="2" t="s">
        <v>13</v>
      </c>
      <c r="C22" s="1" t="s">
        <v>25</v>
      </c>
      <c r="D22" s="2">
        <v>100000</v>
      </c>
      <c r="E22" s="1">
        <v>0</v>
      </c>
    </row>
    <row r="23" spans="1:5" x14ac:dyDescent="0.35">
      <c r="A23" s="2" t="s">
        <v>8</v>
      </c>
      <c r="B23" s="2" t="s">
        <v>13</v>
      </c>
      <c r="C23" s="1">
        <v>45917</v>
      </c>
      <c r="D23" s="2">
        <v>1000000</v>
      </c>
      <c r="E23" s="1">
        <v>45925</v>
      </c>
    </row>
    <row r="24" spans="1:5" x14ac:dyDescent="0.35">
      <c r="A24" s="2" t="s">
        <v>8</v>
      </c>
      <c r="B24" s="2" t="s">
        <v>13</v>
      </c>
      <c r="C24" s="1">
        <v>45905</v>
      </c>
      <c r="D24" s="2">
        <v>700000</v>
      </c>
      <c r="E24" s="1">
        <v>45905</v>
      </c>
    </row>
    <row r="25" spans="1:5" x14ac:dyDescent="0.35">
      <c r="A25" s="2" t="s">
        <v>8</v>
      </c>
      <c r="B25" s="2" t="s">
        <v>13</v>
      </c>
      <c r="C25" s="1">
        <v>45913</v>
      </c>
      <c r="D25" s="2">
        <v>1000000</v>
      </c>
      <c r="E25" s="1">
        <v>45914</v>
      </c>
    </row>
    <row r="26" spans="1:5" x14ac:dyDescent="0.35">
      <c r="A26" s="2" t="s">
        <v>8</v>
      </c>
      <c r="B26" s="2" t="s">
        <v>13</v>
      </c>
      <c r="C26" s="1">
        <v>45923</v>
      </c>
      <c r="D26" s="2">
        <v>1000000</v>
      </c>
      <c r="E26" s="1">
        <v>45925</v>
      </c>
    </row>
    <row r="27" spans="1:5" x14ac:dyDescent="0.35">
      <c r="A27" s="2" t="s">
        <v>8</v>
      </c>
      <c r="B27" s="2" t="s">
        <v>13</v>
      </c>
      <c r="C27" s="1" t="s">
        <v>22</v>
      </c>
      <c r="D27" s="2">
        <v>700000</v>
      </c>
      <c r="E27" s="1" t="s">
        <v>25</v>
      </c>
    </row>
    <row r="28" spans="1:5" x14ac:dyDescent="0.35">
      <c r="A28" s="2" t="s">
        <v>8</v>
      </c>
      <c r="B28" s="2" t="s">
        <v>13</v>
      </c>
      <c r="C28" s="1" t="s">
        <v>18</v>
      </c>
      <c r="D28" s="2">
        <v>1000000</v>
      </c>
      <c r="E28" s="1" t="s">
        <v>28</v>
      </c>
    </row>
    <row r="29" spans="1:5" x14ac:dyDescent="0.35">
      <c r="A29" s="2" t="s">
        <v>6</v>
      </c>
      <c r="B29" s="2" t="s">
        <v>11</v>
      </c>
      <c r="C29" s="1">
        <v>45916</v>
      </c>
      <c r="D29" s="2">
        <v>1200000</v>
      </c>
      <c r="E29" s="1">
        <v>45917</v>
      </c>
    </row>
    <row r="30" spans="1:5" x14ac:dyDescent="0.35">
      <c r="A30" s="2" t="s">
        <v>6</v>
      </c>
      <c r="B30" s="2" t="s">
        <v>11</v>
      </c>
      <c r="C30" s="1">
        <v>45924</v>
      </c>
      <c r="D30" s="2">
        <v>1200000</v>
      </c>
      <c r="E30" s="1">
        <v>45925</v>
      </c>
    </row>
    <row r="31" spans="1:5" x14ac:dyDescent="0.35">
      <c r="A31" s="2" t="s">
        <v>6</v>
      </c>
      <c r="B31" s="2" t="s">
        <v>11</v>
      </c>
      <c r="C31" s="1" t="s">
        <v>22</v>
      </c>
      <c r="D31" s="2">
        <v>100000</v>
      </c>
      <c r="E31" s="1" t="s">
        <v>18</v>
      </c>
    </row>
    <row r="32" spans="1:5" x14ac:dyDescent="0.35">
      <c r="A32" s="2" t="s">
        <v>7</v>
      </c>
      <c r="B32" s="2" t="s">
        <v>12</v>
      </c>
      <c r="C32" s="1" t="s">
        <v>19</v>
      </c>
      <c r="D32" s="2">
        <v>500000</v>
      </c>
      <c r="E32" s="1" t="s">
        <v>26</v>
      </c>
    </row>
    <row r="33" spans="1:5" x14ac:dyDescent="0.35">
      <c r="A33" s="2" t="s">
        <v>7</v>
      </c>
      <c r="B33" s="2" t="s">
        <v>12</v>
      </c>
      <c r="C33" s="1" t="s">
        <v>20</v>
      </c>
      <c r="D33" s="2">
        <v>100000</v>
      </c>
      <c r="E33" s="1" t="s">
        <v>21</v>
      </c>
    </row>
    <row r="34" spans="1:5" x14ac:dyDescent="0.35">
      <c r="A34" s="2" t="s">
        <v>7</v>
      </c>
      <c r="B34" s="2" t="s">
        <v>12</v>
      </c>
      <c r="C34" s="1">
        <v>45905</v>
      </c>
      <c r="D34" s="2">
        <v>100000</v>
      </c>
      <c r="E34" s="1">
        <v>45905</v>
      </c>
    </row>
    <row r="35" spans="1:5" x14ac:dyDescent="0.35">
      <c r="A35" s="2" t="s">
        <v>7</v>
      </c>
      <c r="B35" s="2" t="s">
        <v>12</v>
      </c>
      <c r="C35" s="1">
        <v>45905</v>
      </c>
      <c r="D35" s="2">
        <v>500000</v>
      </c>
      <c r="E35" s="1" t="s">
        <v>32</v>
      </c>
    </row>
    <row r="36" spans="1:5" x14ac:dyDescent="0.35">
      <c r="A36" s="2" t="s">
        <v>7</v>
      </c>
      <c r="B36" s="2" t="s">
        <v>12</v>
      </c>
      <c r="C36" s="1" t="s">
        <v>27</v>
      </c>
      <c r="D36" s="2">
        <v>500000</v>
      </c>
      <c r="E36" s="1">
        <v>0</v>
      </c>
    </row>
    <row r="37" spans="1:5" x14ac:dyDescent="0.35">
      <c r="A37" s="2" t="s">
        <v>7</v>
      </c>
      <c r="B37" s="2" t="s">
        <v>12</v>
      </c>
      <c r="C37" s="1">
        <v>45903</v>
      </c>
      <c r="D37" s="2">
        <v>1000000</v>
      </c>
      <c r="E37" s="1">
        <v>45903</v>
      </c>
    </row>
    <row r="38" spans="1:5" x14ac:dyDescent="0.35">
      <c r="A38" s="2" t="s">
        <v>7</v>
      </c>
      <c r="B38" s="2" t="s">
        <v>12</v>
      </c>
      <c r="C38" s="1">
        <v>45911</v>
      </c>
      <c r="D38" s="2">
        <v>1200000</v>
      </c>
      <c r="E38" s="1">
        <v>45921</v>
      </c>
    </row>
    <row r="39" spans="1:5" x14ac:dyDescent="0.35">
      <c r="A39" s="2" t="s">
        <v>7</v>
      </c>
      <c r="B39" s="2" t="s">
        <v>12</v>
      </c>
      <c r="C39" s="1">
        <v>45925</v>
      </c>
      <c r="D39" s="2">
        <v>500000</v>
      </c>
      <c r="E39" s="1">
        <v>45926</v>
      </c>
    </row>
    <row r="40" spans="1:5" x14ac:dyDescent="0.35">
      <c r="A40" s="2" t="s">
        <v>7</v>
      </c>
      <c r="B40" s="2" t="s">
        <v>12</v>
      </c>
      <c r="C40" s="1">
        <v>45923</v>
      </c>
      <c r="D40" s="2">
        <v>700000</v>
      </c>
      <c r="E40" s="1">
        <v>0</v>
      </c>
    </row>
    <row r="41" spans="1:5" x14ac:dyDescent="0.35">
      <c r="A41" s="2" t="s">
        <v>7</v>
      </c>
      <c r="B41" s="2" t="s">
        <v>12</v>
      </c>
      <c r="C41" s="1">
        <v>45928</v>
      </c>
      <c r="D41" s="2">
        <v>1000000</v>
      </c>
      <c r="E41" s="1">
        <v>45928</v>
      </c>
    </row>
    <row r="42" spans="1:5" x14ac:dyDescent="0.35">
      <c r="A42" s="2" t="s">
        <v>7</v>
      </c>
      <c r="B42" s="2" t="s">
        <v>12</v>
      </c>
      <c r="C42" s="1" t="s">
        <v>28</v>
      </c>
      <c r="D42" s="2">
        <v>1200000</v>
      </c>
      <c r="E42" s="1" t="s">
        <v>15</v>
      </c>
    </row>
  </sheetData>
  <autoFilter ref="A1:E42" xr:uid="{C2F42AA2-C577-47C9-BB26-FA5CD011794B}"/>
  <sortState xmlns:xlrd2="http://schemas.microsoft.com/office/spreadsheetml/2017/richdata2" ref="A2:E42">
    <sortCondition ref="A2:A42"/>
  </sortState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Reyhaneh Hajili</dc:creator>
  <cp:lastModifiedBy>Reyhaneh</cp:lastModifiedBy>
  <dcterms:created xsi:type="dcterms:W3CDTF">2025-09-27T19:35:12Z</dcterms:created>
  <dcterms:modified xsi:type="dcterms:W3CDTF">2025-10-01T15:32:41Z</dcterms:modified>
</cp:coreProperties>
</file>